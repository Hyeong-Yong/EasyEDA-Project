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6c44c75bce42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저항 검토" sheetId="1" r:id="R9fa0724b00c144e5"/>
    <x:sheet xmlns:r="http://schemas.openxmlformats.org/officeDocument/2006/relationships" name="BOM 후보" sheetId="2" r:id="Rf64b9f6483ea411d"/>
    <x:sheet xmlns:r="http://schemas.openxmlformats.org/officeDocument/2006/relationships" name="기타 구매 후보" sheetId="3" r:id="R84bc3696f8204159"/>
    <x:sheet xmlns:r="http://schemas.openxmlformats.org/officeDocument/2006/relationships" name="회로 비교" sheetId="4" r:id="R2efdc073056d4c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2">
    <x:font>
      <x:sz val="11"/>
      <x:name val="Carlito"/>
    </x:font>
    <x:font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455C"/>
      </x:patternFill>
    </x:fill>
    <x:fill>
      <x:patternFill patternType="solid">
        <x:fgColor rgb="FFFFF1DC"/>
      </x:patternFill>
    </x:fill>
    <x:fill>
      <x:patternFill patternType="solid">
        <x:fgColor rgb="FFDDEA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33050dc2fe480e" /><Relationship Type="http://schemas.openxmlformats.org/officeDocument/2006/relationships/theme" Target="/xl/theme/theme1.xml" Id="R633a5f862b024b70" /><Relationship Type="http://schemas.openxmlformats.org/officeDocument/2006/relationships/sharedStrings" Target="/xl/sharedStrings.xml" Id="R50e6ce5fe32f4c03" /><Relationship Type="http://schemas.openxmlformats.org/officeDocument/2006/relationships/worksheet" Target="/xl/worksheets/sheet1.xml" Id="R9fa0724b00c144e5" /><Relationship Type="http://schemas.openxmlformats.org/officeDocument/2006/relationships/worksheet" Target="/xl/worksheets/sheet2.xml" Id="Rf64b9f6483ea411d" /><Relationship Type="http://schemas.openxmlformats.org/officeDocument/2006/relationships/worksheet" Target="/xl/worksheets/sheet3.xml" Id="R84bc3696f8204159" /><Relationship Type="http://schemas.openxmlformats.org/officeDocument/2006/relationships/worksheet" Target="/xl/worksheets/sheet4.xml" Id="R2efdc073056d4c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45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3" hidden="0" customWidth="1"/>
    <x:col min="10" max="10" width="19" hidden="0" customWidth="1"/>
    <x:col min="11" max="11" width="19" hidden="0" customWidth="1"/>
    <x:col min="12" max="12" width="19" hidden="0" customWidth="1"/>
    <x:col min="13" max="13" width="48" hidden="0" customWidth="1"/>
    <x:col min="14" max="14" width="48" hidden="0" customWidth="1"/>
  </x:cols>
  <x:sheetData>
    <x:row r="1" ht="15" hidden="0" customHeight="1">
      <x:c r="A1" s="5" t="str">
        <x:v>STM32H747 표준 저항 검토 — 제조·실장 승인 전</x:v>
      </x:c>
      <x:c r="B1" s="5"/>
      <x:c r="C1" s="5"/>
      <x:c r="D1" s="5"/>
      <x:c r="E1" s="5"/>
      <x:c r="F1" s="5"/>
      <x:c r="G1" s="5"/>
      <x:c r="H1" s="5"/>
      <x:c r="I1" s="5"/>
      <x:c r="J1" s="5"/>
      <x:c r="K1" s="6"/>
      <x:c r="L1" s="6"/>
      <x:c r="M1" s="6"/>
      <x:c r="N1" s="6"/>
    </x:row>
    <x:row r="2" ht="15" hidden="0" customHeight="1">
      <x:c r="A2" s="6" t="str">
        <x:v>25개 품번 적용 · 13개 값 변경 · 나머지 신규 107개 품번은 구매 후보입니다.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3" ht="15" hidden="0" customHeight="1">
      <x:c r="A3" s="7" t="str">
        <x:v>엄격 PCB DRC 0 · ERC 오류 0 / 공급사 속성 경고 1그룹(5개) · 복합/극성 70개 회전 확인 필요</x:v>
      </x:c>
      <x:c r="B3" s="7"/>
      <x:c r="C3" s="7"/>
      <x:c r="D3" s="7"/>
      <x:c r="E3" s="7"/>
      <x:c r="F3" s="7"/>
      <x:c r="G3" s="7"/>
      <x:c r="H3" s="7"/>
      <x:c r="I3" s="7"/>
      <x:c r="J3" s="7"/>
      <x:c r="K3" s="6"/>
      <x:c r="L3" s="6"/>
      <x:c r="M3" s="6"/>
      <x:c r="N3" s="6"/>
    </x:row>
    <x:row r="4" ht="15" hidden="0" customHeight="1">
      <x:c r="A4" s="7" t="str">
        <x:v>재고: 2026-10-19 LCSC 공개 페이지 확인 수치. 예약·JLC 실장 재고 확보가 아닙니다. R201은 카탈로그 400 ppm/K로 계산했습니다.</x:v>
      </x:c>
      <x:c r="B4" s="7"/>
      <x:c r="C4" s="7"/>
      <x:c r="D4" s="7"/>
      <x:c r="E4" s="7"/>
      <x:c r="F4" s="7"/>
      <x:c r="G4" s="7"/>
      <x:c r="H4" s="7"/>
      <x:c r="I4" s="7"/>
      <x:c r="J4" s="7"/>
      <x:c r="K4" s="6"/>
      <x:c r="L4" s="6"/>
      <x:c r="M4" s="6"/>
      <x:c r="N4" s="6"/>
    </x:row>
    <x:row r="5" ht="15" hidden="0" customHeight="1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</x:row>
    <x:row r="6" ht="15" hidden="0" customHeight="1">
      <x:c r="A6" s="8" t="str">
        <x:v>Refs</x:v>
      </x:c>
      <x:c r="B6" s="8" t="str">
        <x:v>Qty/board</x:v>
      </x:c>
      <x:c r="C6" s="8" t="str">
        <x:v>Before</x:v>
      </x:c>
      <x:c r="D6" s="8" t="str">
        <x:v>After</x:v>
      </x:c>
      <x:c r="E6" s="8" t="str">
        <x:v>Tolerance</x:v>
      </x:c>
      <x:c r="F6" s="8" t="str">
        <x:v>TCR</x:v>
      </x:c>
      <x:c r="G6" s="8" t="str">
        <x:v>Power</x:v>
      </x:c>
      <x:c r="H6" s="8" t="str">
        <x:v>Package</x:v>
      </x:c>
      <x:c r="I6" s="8" t="str">
        <x:v>MPN</x:v>
      </x:c>
      <x:c r="J6" s="8" t="str">
        <x:v>LCSC</x:v>
      </x:c>
      <x:c r="K6" s="8" t="str">
        <x:v>Stock</x:v>
      </x:c>
      <x:c r="L6" s="8" t="str">
        <x:v>Stock date</x:v>
      </x:c>
      <x:c r="M6" s="8" t="str">
        <x:v>Source</x:v>
      </x:c>
      <x:c r="N6" s="8" t="str">
        <x:v>Status</x:v>
      </x:c>
    </x:row>
    <x:row r="7" ht="26.399999618530273" hidden="0" customHeight="1">
      <x:c r="A7" s="6" t="str">
        <x:v>R137, R138, R139, R149, R150, R151, R161, R162, R163, R164</x:v>
      </x:c>
      <x:c r="B7" s="6" t="n">
        <x:v>10</x:v>
      </x:c>
      <x:c r="C7" s="6" t="str">
        <x:v>4.00k</x:v>
      </x:c>
      <x:c r="D7" s="6" t="str">
        <x:v>4.02k</x:v>
      </x:c>
      <x:c r="E7" s="6" t="str">
        <x:v>0.1%</x:v>
      </x:c>
      <x:c r="F7" s="6" t="str">
        <x:v>25 ppm/K</x:v>
      </x:c>
      <x:c r="G7" s="6" t="str">
        <x:v>0.0625 W</x:v>
      </x:c>
      <x:c r="H7" s="6" t="str">
        <x:v>0402</x:v>
      </x:c>
      <x:c r="I7" s="6" t="str">
        <x:v>RT0402BRD074K02L</x:v>
      </x:c>
      <x:c r="J7" s="6" t="str">
        <x:v>C852810</x:v>
      </x:c>
      <x:c r="K7" s="6" t="n">
        <x:v>6500</x:v>
      </x:c>
      <x:c r="L7" s="6" t="str">
        <x:v>2026-10-19</x:v>
      </x:c>
      <x:c r="M7" s="6" t="str">
        <x:v>https://www.lcsc.com/product-detail/C852810.html</x:v>
      </x:c>
      <x:c r="N7" s="6" t="str">
        <x:v>CAD applied; stock unreserved; JLC review pending</x:v>
      </x:c>
    </x:row>
    <x:row r="8" ht="26.399999618530273" hidden="0" customHeight="1">
      <x:c r="A8" s="6" t="str">
        <x:v>R187, R188, R189, R190, R191, R192, R193, R194, R195, R196</x:v>
      </x:c>
      <x:c r="B8" s="6" t="n">
        <x:v>10</x:v>
      </x:c>
      <x:c r="C8" s="6" t="str">
        <x:v>2.80k</x:v>
      </x:c>
      <x:c r="D8" s="6" t="str">
        <x:v>2.80k</x:v>
      </x:c>
      <x:c r="E8" s="6" t="str">
        <x:v>0.1%</x:v>
      </x:c>
      <x:c r="F8" s="6" t="str">
        <x:v>25 ppm/K</x:v>
      </x:c>
      <x:c r="G8" s="6" t="str">
        <x:v>0.06 W</x:v>
      </x:c>
      <x:c r="H8" s="6" t="str">
        <x:v>0402</x:v>
      </x:c>
      <x:c r="I8" s="6" t="str">
        <x:v>PTFR0402B2K80P9</x:v>
      </x:c>
      <x:c r="J8" s="6" t="str">
        <x:v>C2692906</x:v>
      </x:c>
      <x:c r="K8" s="6" t="n">
        <x:v>5935</x:v>
      </x:c>
      <x:c r="L8" s="6" t="str">
        <x:v>2026-10-19</x:v>
      </x:c>
      <x:c r="M8" s="6" t="str">
        <x:v>https://www.lcsc.com/product-detail/C2692906.html</x:v>
      </x:c>
      <x:c r="N8" s="6" t="str">
        <x:v>CAD applied; stock unreserved; JLC review pending</x:v>
      </x:c>
    </x:row>
    <x:row r="9" ht="15" hidden="0" customHeight="1">
      <x:c r="A9" s="6" t="str">
        <x:v>R197, R200</x:v>
      </x:c>
      <x:c r="B9" s="6" t="n">
        <x:v>2</x:v>
      </x:c>
      <x:c r="C9" s="6" t="str">
        <x:v>4.7</x:v>
      </x:c>
      <x:c r="D9" s="6" t="str">
        <x:v>4.7Ω</x:v>
      </x:c>
      <x:c r="E9" s="6" t="str">
        <x:v>1%</x:v>
      </x:c>
      <x:c r="F9" s="6" t="str">
        <x:v>100 ppm/K</x:v>
      </x:c>
      <x:c r="G9" s="6" t="str">
        <x:v>0.2 W</x:v>
      </x:c>
      <x:c r="H9" s="6" t="str">
        <x:v>0402</x:v>
      </x:c>
      <x:c r="I9" s="6" t="str">
        <x:v>RCS04024R70FKED</x:v>
      </x:c>
      <x:c r="J9" s="6" t="str">
        <x:v>C2103244</x:v>
      </x:c>
      <x:c r="K9" s="6" t="n">
        <x:v>2610</x:v>
      </x:c>
      <x:c r="L9" s="6" t="str">
        <x:v>2026-10-19</x:v>
      </x:c>
      <x:c r="M9" s="6" t="str">
        <x:v>https://www.lcsc.com/product-detail/C2103244.html</x:v>
      </x:c>
      <x:c r="N9" s="6" t="str">
        <x:v>CAD applied; stock unreserved; JLC review pending</x:v>
      </x:c>
    </x:row>
    <x:row r="10" ht="15" hidden="0" customHeight="1">
      <x:c r="A10" s="6" t="str">
        <x:v>R201</x:v>
      </x:c>
      <x:c r="B10" s="6" t="n">
        <x:v>1</x:v>
      </x:c>
      <x:c r="C10" s="6" t="str">
        <x:v>1.0</x:v>
      </x:c>
      <x:c r="D10" s="6" t="str">
        <x:v>1.2Ω</x:v>
      </x:c>
      <x:c r="E10" s="6" t="str">
        <x:v>±1%</x:v>
      </x:c>
      <x:c r="F10" s="6" t="str">
        <x:v>±400ppm/℃</x:v>
      </x:c>
      <x:c r="G10" s="6" t="str">
        <x:v>0.0625 W</x:v>
      </x:c>
      <x:c r="H10" s="6" t="str">
        <x:v>0402</x:v>
      </x:c>
      <x:c r="I10" s="6" t="str">
        <x:v>0402WGF120KTCE</x:v>
      </x:c>
      <x:c r="J10" s="6" t="str">
        <x:v>C44198</x:v>
      </x:c>
      <x:c r="K10" s="6" t="n">
        <x:v>6900</x:v>
      </x:c>
      <x:c r="L10" s="6" t="str">
        <x:v>2026-10-19</x:v>
      </x:c>
      <x:c r="M10" s="6" t="str">
        <x:v>https://www.lcsc.com/product-detail/C44198.html</x:v>
      </x:c>
      <x:c r="N10" s="6" t="str">
        <x:v>CAD applied; stock unreserved; JLC review pending</x:v>
      </x:c>
    </x:row>
    <x:row r="11" ht="15" hidden="0" customHeight="1">
      <x:c r="A11" s="6" t="str">
        <x:v>R202</x:v>
      </x:c>
      <x:c r="B11" s="6" t="n">
        <x:v>1</x:v>
      </x:c>
      <x:c r="C11" s="6" t="str">
        <x:v>15.8k</x:v>
      </x:c>
      <x:c r="D11" s="6" t="str">
        <x:v>14.7kΩ</x:v>
      </x:c>
      <x:c r="E11" s="6" t="str">
        <x:v>±0.1%</x:v>
      </x:c>
      <x:c r="F11" s="6" t="str">
        <x:v>±10ppm/℃</x:v>
      </x:c>
      <x:c r="G11" s="6" t="str">
        <x:v>0.06 W</x:v>
      </x:c>
      <x:c r="H11" s="6" t="str">
        <x:v>0402</x:v>
      </x:c>
      <x:c r="I11" s="6" t="str">
        <x:v>PTFR0402B14K7N9</x:v>
      </x:c>
      <x:c r="J11" s="6" t="str">
        <x:v>C2693067</x:v>
      </x:c>
      <x:c r="K11" s="6" t="n">
        <x:v>4965</x:v>
      </x:c>
      <x:c r="L11" s="6" t="str">
        <x:v>2026-10-19</x:v>
      </x:c>
      <x:c r="M11" s="6" t="str">
        <x:v>https://www.lcsc.com/product-detail/C2693067.html</x:v>
      </x:c>
      <x:c r="N11" s="6" t="str">
        <x:v>CAD applied; stock unreserved; JLC review pending</x:v>
      </x:c>
    </x:row>
    <x:row r="12" ht="15" hidden="0" customHeight="1">
      <x:c r="A12" s="6" t="str">
        <x:v>R203</x:v>
      </x:c>
      <x:c r="B12" s="6" t="n">
        <x:v>1</x:v>
      </x:c>
      <x:c r="C12" s="6" t="str">
        <x:v>10.0k</x:v>
      </x:c>
      <x:c r="D12" s="6" t="str">
        <x:v>9.31kΩ</x:v>
      </x:c>
      <x:c r="E12" s="6" t="str">
        <x:v>±0.1%</x:v>
      </x:c>
      <x:c r="F12" s="6" t="str">
        <x:v>±10ppm/℃</x:v>
      </x:c>
      <x:c r="G12" s="6" t="str">
        <x:v>0.06 W</x:v>
      </x:c>
      <x:c r="H12" s="6" t="str">
        <x:v>0402</x:v>
      </x:c>
      <x:c r="I12" s="6" t="str">
        <x:v>PTFR0402B9K31N9</x:v>
      </x:c>
      <x:c r="J12" s="6" t="str">
        <x:v>C2692924</x:v>
      </x:c>
      <x:c r="K12" s="6" t="n">
        <x:v>500</x:v>
      </x:c>
      <x:c r="L12" s="6" t="str">
        <x:v>2026-10-19</x:v>
      </x:c>
      <x:c r="M12" s="6" t="str">
        <x:v>https://www.lcsc.com/product-detail/C2692924.html</x:v>
      </x:c>
      <x:c r="N12" s="6" t="str">
        <x:v>CAD applied; stock unreserved; JLC review pending</x:v>
      </x:c>
    </x:row>
  </x:sheetData>
  <x:mergeCells>
    <x:mergeCell ref="A1:J1"/>
    <x:mergeCell ref="A2:J2"/>
    <x:mergeCell ref="A3:J3"/>
    <x:mergeCell ref="A4:J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15" hidden="0" customHeight="1">
      <x:c r="A1" s="5" t="str">
        <x:v>Comment</x:v>
      </x:c>
      <x:c r="B1" s="5" t="str">
        <x:v>Designator</x:v>
      </x:c>
      <x:c r="C1" s="5" t="str">
        <x:v>Footprint</x:v>
      </x:c>
      <x:c r="D1" s="5" t="str">
        <x:v>Manufacturer Part</x:v>
      </x:c>
      <x:c r="E1" s="5" t="str">
        <x:v>Manufacturer</x:v>
      </x:c>
      <x:c r="F1" s="5" t="str">
        <x:v>LCSC Part #</x:v>
      </x:c>
      <x:c r="G1" s="5" t="str">
        <x:v>Quantity</x:v>
      </x:c>
      <x:c r="H1" s="5" t="str">
        <x:v>Status</x:v>
      </x:c>
    </x:row>
    <x:row r="2" ht="26.399999618530273" hidden="0" customHeight="1">
      <x:c r="A2" s="6" t="str">
        <x:v>1.5p</x:v>
      </x:c>
      <x:c r="B2" s="6" t="str">
        <x:v>C1</x:v>
      </x:c>
      <x:c r="C2" s="6" t="str">
        <x:v>0402</x:v>
      </x:c>
      <x:c r="D2" s="6" t="str">
        <x:v>CL05C1R5BB5NNNC</x:v>
      </x:c>
      <x:c r="E2" s="6" t="str"/>
      <x:c r="F2" s="6" t="str"/>
      <x:c r="G2" s="6" t="n">
        <x:v>1</x:v>
      </x:c>
      <x:c r="H2" s="6" t="str">
        <x:v>Exact MPN; verify stock/package</x:v>
      </x:c>
    </x:row>
    <x:row r="3" ht="26.399999618530273" hidden="0" customHeight="1">
      <x:c r="A3" s="6" t="str">
        <x:v>1.5p</x:v>
      </x:c>
      <x:c r="B3" s="6" t="str">
        <x:v>C2</x:v>
      </x:c>
      <x:c r="C3" s="6" t="str">
        <x:v>0402</x:v>
      </x:c>
      <x:c r="D3" s="6" t="str">
        <x:v>CL05C1R5BB5NNNC</x:v>
      </x:c>
      <x:c r="E3" s="6" t="str"/>
      <x:c r="F3" s="6" t="str"/>
      <x:c r="G3" s="6" t="n">
        <x:v>1</x:v>
      </x:c>
      <x:c r="H3" s="6" t="str">
        <x:v>Exact MPN; verify stock/package</x:v>
      </x:c>
    </x:row>
    <x:row r="4" ht="26.399999618530273" hidden="0" customHeight="1">
      <x:c r="A4" s="6" t="str">
        <x:v>0.1u</x:v>
      </x:c>
      <x:c r="B4" s="6" t="str">
        <x:v>C3</x:v>
      </x:c>
      <x:c r="C4" s="6" t="str">
        <x:v>0402</x:v>
      </x:c>
      <x:c r="D4" s="6" t="str">
        <x:v>CL05B104KO5NNNC</x:v>
      </x:c>
      <x:c r="E4" s="6" t="str">
        <x:v>SAMSUNG(三星)</x:v>
      </x:c>
      <x:c r="F4" s="6" t="str">
        <x:v>C1525</x:v>
      </x:c>
      <x:c r="G4" s="6" t="n">
        <x:v>1</x:v>
      </x:c>
      <x:c r="H4" s="6" t="str">
        <x:v>Exact MPN; verify stock/package</x:v>
      </x:c>
    </x:row>
    <x:row r="5" ht="26.399999618530273" hidden="0" customHeight="1">
      <x:c r="A5" s="6" t="str">
        <x:v>0.1u</x:v>
      </x:c>
      <x:c r="B5" s="6" t="str">
        <x:v>C4</x:v>
      </x:c>
      <x:c r="C5" s="6" t="str">
        <x:v>0402</x:v>
      </x:c>
      <x:c r="D5" s="6" t="str">
        <x:v>CL05B104KO5NNNC</x:v>
      </x:c>
      <x:c r="E5" s="6" t="str">
        <x:v>SAMSUNG(三星)</x:v>
      </x:c>
      <x:c r="F5" s="6" t="str">
        <x:v>C1525</x:v>
      </x:c>
      <x:c r="G5" s="6" t="n">
        <x:v>1</x:v>
      </x:c>
      <x:c r="H5" s="6" t="str">
        <x:v>Exact MPN; verify stock/package</x:v>
      </x:c>
    </x:row>
    <x:row r="6" ht="26.399999618530273" hidden="0" customHeight="1">
      <x:c r="A6" s="6" t="str">
        <x:v>10u</x:v>
      </x:c>
      <x:c r="B6" s="6" t="str">
        <x:v>C5</x:v>
      </x:c>
      <x:c r="C6" s="6" t="str">
        <x:v>0603</x:v>
      </x:c>
      <x:c r="D6" s="6" t="str">
        <x:v>CL10A106KP8NNNC</x:v>
      </x:c>
      <x:c r="E6" s="6" t="str"/>
      <x:c r="F6" s="6" t="str"/>
      <x:c r="G6" s="6" t="n">
        <x:v>1</x:v>
      </x:c>
      <x:c r="H6" s="6" t="str">
        <x:v>Exact MPN; verify stock/package</x:v>
      </x:c>
    </x:row>
    <x:row r="7" ht="26.399999618530273" hidden="0" customHeight="1">
      <x:c r="A7" s="6" t="str">
        <x:v>0.1u</x:v>
      </x:c>
      <x:c r="B7" s="6" t="str">
        <x:v>C6</x:v>
      </x:c>
      <x:c r="C7" s="6" t="str">
        <x:v>0402</x:v>
      </x:c>
      <x:c r="D7" s="6" t="str">
        <x:v>CL05B104KO5NNNC</x:v>
      </x:c>
      <x:c r="E7" s="6" t="str">
        <x:v>SAMSUNG(三星)</x:v>
      </x:c>
      <x:c r="F7" s="6" t="str">
        <x:v>C1525</x:v>
      </x:c>
      <x:c r="G7" s="6" t="n">
        <x:v>1</x:v>
      </x:c>
      <x:c r="H7" s="6" t="str">
        <x:v>Exact MPN; verify stock/package</x:v>
      </x:c>
    </x:row>
    <x:row r="8" ht="26.399999618530273" hidden="0" customHeight="1">
      <x:c r="A8" s="6" t="str">
        <x:v>0.1u</x:v>
      </x:c>
      <x:c r="B8" s="6" t="str">
        <x:v>C7</x:v>
      </x:c>
      <x:c r="C8" s="6" t="str">
        <x:v>0402</x:v>
      </x:c>
      <x:c r="D8" s="6" t="str">
        <x:v>CL05B104KO5NNNC</x:v>
      </x:c>
      <x:c r="E8" s="6" t="str">
        <x:v>SAMSUNG(三星)</x:v>
      </x:c>
      <x:c r="F8" s="6" t="str">
        <x:v>C1525</x:v>
      </x:c>
      <x:c r="G8" s="6" t="n">
        <x:v>1</x:v>
      </x:c>
      <x:c r="H8" s="6" t="str">
        <x:v>Exact MPN; verify stock/package</x:v>
      </x:c>
    </x:row>
    <x:row r="9" ht="26.399999618530273" hidden="0" customHeight="1">
      <x:c r="A9" s="6" t="str">
        <x:v>0.1u</x:v>
      </x:c>
      <x:c r="B9" s="6" t="str">
        <x:v>C8</x:v>
      </x:c>
      <x:c r="C9" s="6" t="str">
        <x:v>0402</x:v>
      </x:c>
      <x:c r="D9" s="6" t="str">
        <x:v>CL05B104KO5NNNC</x:v>
      </x:c>
      <x:c r="E9" s="6" t="str">
        <x:v>SAMSUNG(三星)</x:v>
      </x:c>
      <x:c r="F9" s="6" t="str">
        <x:v>C1525</x:v>
      </x:c>
      <x:c r="G9" s="6" t="n">
        <x:v>1</x:v>
      </x:c>
      <x:c r="H9" s="6" t="str">
        <x:v>Exact MPN; verify stock/package</x:v>
      </x:c>
    </x:row>
    <x:row r="10" ht="26.399999618530273" hidden="0" customHeight="1">
      <x:c r="A10" s="6" t="str">
        <x:v>0.1u</x:v>
      </x:c>
      <x:c r="B10" s="6" t="str">
        <x:v>C9</x:v>
      </x:c>
      <x:c r="C10" s="6" t="str">
        <x:v>0402</x:v>
      </x:c>
      <x:c r="D10" s="6" t="str">
        <x:v>CL05B104KO5NNNC</x:v>
      </x:c>
      <x:c r="E10" s="6" t="str">
        <x:v>SAMSUNG(三星)</x:v>
      </x:c>
      <x:c r="F10" s="6" t="str">
        <x:v>C1525</x:v>
      </x:c>
      <x:c r="G10" s="6" t="n">
        <x:v>1</x:v>
      </x:c>
      <x:c r="H10" s="6" t="str">
        <x:v>Exact MPN; verify stock/package</x:v>
      </x:c>
    </x:row>
    <x:row r="11" ht="26.399999618530273" hidden="0" customHeight="1">
      <x:c r="A11" s="6" t="str">
        <x:v>0.1u</x:v>
      </x:c>
      <x:c r="B11" s="6" t="str">
        <x:v>C10</x:v>
      </x:c>
      <x:c r="C11" s="6" t="str">
        <x:v>0402</x:v>
      </x:c>
      <x:c r="D11" s="6" t="str">
        <x:v>CL05B104KO5NNNC</x:v>
      </x:c>
      <x:c r="E11" s="6" t="str">
        <x:v>SAMSUNG(三星)</x:v>
      </x:c>
      <x:c r="F11" s="6" t="str">
        <x:v>C1525</x:v>
      </x:c>
      <x:c r="G11" s="6" t="n">
        <x:v>1</x:v>
      </x:c>
      <x:c r="H11" s="6" t="str">
        <x:v>Exact MPN; verify stock/package</x:v>
      </x:c>
    </x:row>
    <x:row r="12" ht="26.399999618530273" hidden="0" customHeight="1">
      <x:c r="A12" s="6" t="str">
        <x:v>0.1u</x:v>
      </x:c>
      <x:c r="B12" s="6" t="str">
        <x:v>C11</x:v>
      </x:c>
      <x:c r="C12" s="6" t="str">
        <x:v>0402</x:v>
      </x:c>
      <x:c r="D12" s="6" t="str">
        <x:v>CL05B104KO5NNNC</x:v>
      </x:c>
      <x:c r="E12" s="6" t="str">
        <x:v>SAMSUNG(三星)</x:v>
      </x:c>
      <x:c r="F12" s="6" t="str">
        <x:v>C1525</x:v>
      </x:c>
      <x:c r="G12" s="6" t="n">
        <x:v>1</x:v>
      </x:c>
      <x:c r="H12" s="6" t="str">
        <x:v>Exact MPN; verify stock/package</x:v>
      </x:c>
    </x:row>
    <x:row r="13" ht="26.399999618530273" hidden="0" customHeight="1">
      <x:c r="A13" s="6" t="str">
        <x:v>0.1u</x:v>
      </x:c>
      <x:c r="B13" s="6" t="str">
        <x:v>C12</x:v>
      </x:c>
      <x:c r="C13" s="6" t="str">
        <x:v>0402</x:v>
      </x:c>
      <x:c r="D13" s="6" t="str">
        <x:v>CL05B104KO5NNNC</x:v>
      </x:c>
      <x:c r="E13" s="6" t="str">
        <x:v>SAMSUNG(三星)</x:v>
      </x:c>
      <x:c r="F13" s="6" t="str">
        <x:v>C1525</x:v>
      </x:c>
      <x:c r="G13" s="6" t="n">
        <x:v>1</x:v>
      </x:c>
      <x:c r="H13" s="6" t="str">
        <x:v>Exact MPN; verify stock/package</x:v>
      </x:c>
    </x:row>
    <x:row r="14" ht="26.399999618530273" hidden="0" customHeight="1">
      <x:c r="A14" s="6" t="str">
        <x:v>0.1u</x:v>
      </x:c>
      <x:c r="B14" s="6" t="str">
        <x:v>C13</x:v>
      </x:c>
      <x:c r="C14" s="6" t="str">
        <x:v>0402</x:v>
      </x:c>
      <x:c r="D14" s="6" t="str">
        <x:v>CL05B104KO5NNNC</x:v>
      </x:c>
      <x:c r="E14" s="6" t="str">
        <x:v>SAMSUNG(三星)</x:v>
      </x:c>
      <x:c r="F14" s="6" t="str">
        <x:v>C1525</x:v>
      </x:c>
      <x:c r="G14" s="6" t="n">
        <x:v>1</x:v>
      </x:c>
      <x:c r="H14" s="6" t="str">
        <x:v>Exact MPN; verify stock/package</x:v>
      </x:c>
    </x:row>
    <x:row r="15" ht="26.399999618530273" hidden="0" customHeight="1">
      <x:c r="A15" s="6" t="str">
        <x:v>0.1u</x:v>
      </x:c>
      <x:c r="B15" s="6" t="str">
        <x:v>C14</x:v>
      </x:c>
      <x:c r="C15" s="6" t="str">
        <x:v>0402</x:v>
      </x:c>
      <x:c r="D15" s="6" t="str">
        <x:v>CL05B104KO5NNNC</x:v>
      </x:c>
      <x:c r="E15" s="6" t="str">
        <x:v>SAMSUNG(三星)</x:v>
      </x:c>
      <x:c r="F15" s="6" t="str">
        <x:v>C1525</x:v>
      </x:c>
      <x:c r="G15" s="6" t="n">
        <x:v>1</x:v>
      </x:c>
      <x:c r="H15" s="6" t="str">
        <x:v>Exact MPN; verify stock/package</x:v>
      </x:c>
    </x:row>
    <x:row r="16" ht="26.399999618530273" hidden="0" customHeight="1">
      <x:c r="A16" s="6" t="str">
        <x:v>0.1u</x:v>
      </x:c>
      <x:c r="B16" s="6" t="str">
        <x:v>C15</x:v>
      </x:c>
      <x:c r="C16" s="6" t="str">
        <x:v>0402</x:v>
      </x:c>
      <x:c r="D16" s="6" t="str">
        <x:v>CL05B104KO5NNNC</x:v>
      </x:c>
      <x:c r="E16" s="6" t="str">
        <x:v>SAMSUNG(三星)</x:v>
      </x:c>
      <x:c r="F16" s="6" t="str">
        <x:v>C1525</x:v>
      </x:c>
      <x:c r="G16" s="6" t="n">
        <x:v>1</x:v>
      </x:c>
      <x:c r="H16" s="6" t="str">
        <x:v>Exact MPN; verify stock/package</x:v>
      </x:c>
    </x:row>
    <x:row r="17" ht="26.399999618530273" hidden="0" customHeight="1">
      <x:c r="A17" s="6" t="str">
        <x:v>0.1u</x:v>
      </x:c>
      <x:c r="B17" s="6" t="str">
        <x:v>C16</x:v>
      </x:c>
      <x:c r="C17" s="6" t="str">
        <x:v>0402</x:v>
      </x:c>
      <x:c r="D17" s="6" t="str">
        <x:v>CL05B104KO5NNNC</x:v>
      </x:c>
      <x:c r="E17" s="6" t="str">
        <x:v>SAMSUNG(三星)</x:v>
      </x:c>
      <x:c r="F17" s="6" t="str">
        <x:v>C1525</x:v>
      </x:c>
      <x:c r="G17" s="6" t="n">
        <x:v>1</x:v>
      </x:c>
      <x:c r="H17" s="6" t="str">
        <x:v>Exact MPN; verify stock/package</x:v>
      </x:c>
    </x:row>
    <x:row r="18" ht="26.399999618530273" hidden="0" customHeight="1">
      <x:c r="A18" s="6" t="str">
        <x:v>0.1u</x:v>
      </x:c>
      <x:c r="B18" s="6" t="str">
        <x:v>C17</x:v>
      </x:c>
      <x:c r="C18" s="6" t="str">
        <x:v>0402</x:v>
      </x:c>
      <x:c r="D18" s="6" t="str">
        <x:v>CL05B104KO5NNNC</x:v>
      </x:c>
      <x:c r="E18" s="6" t="str">
        <x:v>SAMSUNG(三星)</x:v>
      </x:c>
      <x:c r="F18" s="6" t="str">
        <x:v>C1525</x:v>
      </x:c>
      <x:c r="G18" s="6" t="n">
        <x:v>1</x:v>
      </x:c>
      <x:c r="H18" s="6" t="str">
        <x:v>Exact MPN; verify stock/package</x:v>
      </x:c>
    </x:row>
    <x:row r="19" ht="26.399999618530273" hidden="0" customHeight="1">
      <x:c r="A19" s="6" t="str">
        <x:v>0.1u</x:v>
      </x:c>
      <x:c r="B19" s="6" t="str">
        <x:v>C18</x:v>
      </x:c>
      <x:c r="C19" s="6" t="str">
        <x:v>0402</x:v>
      </x:c>
      <x:c r="D19" s="6" t="str">
        <x:v>CL05B104KO5NNNC</x:v>
      </x:c>
      <x:c r="E19" s="6" t="str">
        <x:v>SAMSUNG(三星)</x:v>
      </x:c>
      <x:c r="F19" s="6" t="str">
        <x:v>C1525</x:v>
      </x:c>
      <x:c r="G19" s="6" t="n">
        <x:v>1</x:v>
      </x:c>
      <x:c r="H19" s="6" t="str">
        <x:v>Exact MPN; verify stock/package</x:v>
      </x:c>
    </x:row>
    <x:row r="20" ht="26.399999618530273" hidden="0" customHeight="1">
      <x:c r="A20" s="6" t="str">
        <x:v>0.1u</x:v>
      </x:c>
      <x:c r="B20" s="6" t="str">
        <x:v>C19</x:v>
      </x:c>
      <x:c r="C20" s="6" t="str">
        <x:v>0402</x:v>
      </x:c>
      <x:c r="D20" s="6" t="str">
        <x:v>CL05B104KO5NNNC</x:v>
      </x:c>
      <x:c r="E20" s="6" t="str">
        <x:v>SAMSUNG(三星)</x:v>
      </x:c>
      <x:c r="F20" s="6" t="str">
        <x:v>C1525</x:v>
      </x:c>
      <x:c r="G20" s="6" t="n">
        <x:v>1</x:v>
      </x:c>
      <x:c r="H20" s="6" t="str">
        <x:v>Exact MPN; verify stock/package</x:v>
      </x:c>
    </x:row>
    <x:row r="21" ht="26.399999618530273" hidden="0" customHeight="1">
      <x:c r="A21" s="6" t="str">
        <x:v>0.1u</x:v>
      </x:c>
      <x:c r="B21" s="6" t="str">
        <x:v>C20</x:v>
      </x:c>
      <x:c r="C21" s="6" t="str">
        <x:v>0402</x:v>
      </x:c>
      <x:c r="D21" s="6" t="str">
        <x:v>CL05B104KO5NNNC</x:v>
      </x:c>
      <x:c r="E21" s="6" t="str">
        <x:v>SAMSUNG(三星)</x:v>
      </x:c>
      <x:c r="F21" s="6" t="str">
        <x:v>C1525</x:v>
      </x:c>
      <x:c r="G21" s="6" t="n">
        <x:v>1</x:v>
      </x:c>
      <x:c r="H21" s="6" t="str">
        <x:v>Exact MPN; verify stock/package</x:v>
      </x:c>
    </x:row>
    <x:row r="22" ht="26.399999618530273" hidden="0" customHeight="1">
      <x:c r="A22" s="6" t="str">
        <x:v>0.1u</x:v>
      </x:c>
      <x:c r="B22" s="6" t="str">
        <x:v>C21</x:v>
      </x:c>
      <x:c r="C22" s="6" t="str">
        <x:v>0402</x:v>
      </x:c>
      <x:c r="D22" s="6" t="str">
        <x:v>CL05B104KO5NNNC</x:v>
      </x:c>
      <x:c r="E22" s="6" t="str">
        <x:v>SAMSUNG(三星)</x:v>
      </x:c>
      <x:c r="F22" s="6" t="str">
        <x:v>C1525</x:v>
      </x:c>
      <x:c r="G22" s="6" t="n">
        <x:v>1</x:v>
      </x:c>
      <x:c r="H22" s="6" t="str">
        <x:v>Exact MPN; verify stock/package</x:v>
      </x:c>
    </x:row>
    <x:row r="23" ht="26.399999618530273" hidden="0" customHeight="1">
      <x:c r="A23" s="6" t="str">
        <x:v>0.1u</x:v>
      </x:c>
      <x:c r="B23" s="6" t="str">
        <x:v>C22</x:v>
      </x:c>
      <x:c r="C23" s="6" t="str">
        <x:v>0402</x:v>
      </x:c>
      <x:c r="D23" s="6" t="str">
        <x:v>CL05B104KO5NNNC</x:v>
      </x:c>
      <x:c r="E23" s="6" t="str">
        <x:v>SAMSUNG(三星)</x:v>
      </x:c>
      <x:c r="F23" s="6" t="str">
        <x:v>C1525</x:v>
      </x:c>
      <x:c r="G23" s="6" t="n">
        <x:v>1</x:v>
      </x:c>
      <x:c r="H23" s="6" t="str">
        <x:v>Exact MPN; verify stock/package</x:v>
      </x:c>
    </x:row>
    <x:row r="24" ht="26.399999618530273" hidden="0" customHeight="1">
      <x:c r="A24" s="6" t="str">
        <x:v>0.1u</x:v>
      </x:c>
      <x:c r="B24" s="6" t="str">
        <x:v>C23</x:v>
      </x:c>
      <x:c r="C24" s="6" t="str">
        <x:v>0402</x:v>
      </x:c>
      <x:c r="D24" s="6" t="str">
        <x:v>CL05B104KO5NNNC</x:v>
      </x:c>
      <x:c r="E24" s="6" t="str">
        <x:v>SAMSUNG(三星)</x:v>
      </x:c>
      <x:c r="F24" s="6" t="str">
        <x:v>C1525</x:v>
      </x:c>
      <x:c r="G24" s="6" t="n">
        <x:v>1</x:v>
      </x:c>
      <x:c r="H24" s="6" t="str">
        <x:v>Exact MPN; verify stock/package</x:v>
      </x:c>
    </x:row>
    <x:row r="25" ht="26.399999618530273" hidden="0" customHeight="1">
      <x:c r="A25" s="6" t="str">
        <x:v>0.1u</x:v>
      </x:c>
      <x:c r="B25" s="6" t="str">
        <x:v>C24</x:v>
      </x:c>
      <x:c r="C25" s="6" t="str">
        <x:v>0402</x:v>
      </x:c>
      <x:c r="D25" s="6" t="str">
        <x:v>CL05B104KO5NNNC</x:v>
      </x:c>
      <x:c r="E25" s="6" t="str">
        <x:v>SAMSUNG(三星)</x:v>
      </x:c>
      <x:c r="F25" s="6" t="str">
        <x:v>C1525</x:v>
      </x:c>
      <x:c r="G25" s="6" t="n">
        <x:v>1</x:v>
      </x:c>
      <x:c r="H25" s="6" t="str">
        <x:v>Exact MPN; verify stock/package</x:v>
      </x:c>
    </x:row>
    <x:row r="26" ht="26.399999618530273" hidden="0" customHeight="1">
      <x:c r="A26" s="6" t="str">
        <x:v>0.1u</x:v>
      </x:c>
      <x:c r="B26" s="6" t="str">
        <x:v>C25</x:v>
      </x:c>
      <x:c r="C26" s="6" t="str">
        <x:v>0402</x:v>
      </x:c>
      <x:c r="D26" s="6" t="str">
        <x:v>CL05B104KO5NNNC</x:v>
      </x:c>
      <x:c r="E26" s="6" t="str">
        <x:v>SAMSUNG(三星)</x:v>
      </x:c>
      <x:c r="F26" s="6" t="str">
        <x:v>C1525</x:v>
      </x:c>
      <x:c r="G26" s="6" t="n">
        <x:v>1</x:v>
      </x:c>
      <x:c r="H26" s="6" t="str">
        <x:v>Exact MPN; verify stock/package</x:v>
      </x:c>
    </x:row>
    <x:row r="27" ht="26.399999618530273" hidden="0" customHeight="1">
      <x:c r="A27" s="6" t="str">
        <x:v>10u</x:v>
      </x:c>
      <x:c r="B27" s="6" t="str">
        <x:v>C26</x:v>
      </x:c>
      <x:c r="C27" s="6" t="str">
        <x:v>0603</x:v>
      </x:c>
      <x:c r="D27" s="6" t="str">
        <x:v>CL10A106KP8NNNC</x:v>
      </x:c>
      <x:c r="E27" s="6" t="str"/>
      <x:c r="F27" s="6" t="str"/>
      <x:c r="G27" s="6" t="n">
        <x:v>1</x:v>
      </x:c>
      <x:c r="H27" s="6" t="str">
        <x:v>Exact MPN; verify stock/package</x:v>
      </x:c>
    </x:row>
    <x:row r="28" ht="26.399999618530273" hidden="0" customHeight="1">
      <x:c r="A28" s="6" t="str">
        <x:v>220p</x:v>
      </x:c>
      <x:c r="B28" s="6" t="str">
        <x:v>C27</x:v>
      </x:c>
      <x:c r="C28" s="6" t="str">
        <x:v>0402</x:v>
      </x:c>
      <x:c r="D28" s="6" t="str">
        <x:v>CL05C221JB5NNNC</x:v>
      </x:c>
      <x:c r="E28" s="6" t="str"/>
      <x:c r="F28" s="6" t="str"/>
      <x:c r="G28" s="6" t="n">
        <x:v>1</x:v>
      </x:c>
      <x:c r="H28" s="6" t="str">
        <x:v>Exact MPN; verify stock/package</x:v>
      </x:c>
    </x:row>
    <x:row r="29" ht="26.399999618530273" hidden="0" customHeight="1">
      <x:c r="A29" s="6" t="str">
        <x:v>10u</x:v>
      </x:c>
      <x:c r="B29" s="6" t="str">
        <x:v>C28</x:v>
      </x:c>
      <x:c r="C29" s="6" t="str">
        <x:v>0603</x:v>
      </x:c>
      <x:c r="D29" s="6" t="str">
        <x:v>CL10A106KP8NNNC</x:v>
      </x:c>
      <x:c r="E29" s="6" t="str"/>
      <x:c r="F29" s="6" t="str"/>
      <x:c r="G29" s="6" t="n">
        <x:v>1</x:v>
      </x:c>
      <x:c r="H29" s="6" t="str">
        <x:v>Exact MPN; verify stock/package</x:v>
      </x:c>
    </x:row>
    <x:row r="30" ht="26.399999618530273" hidden="0" customHeight="1">
      <x:c r="A30" s="6" t="str">
        <x:v>4.7u</x:v>
      </x:c>
      <x:c r="B30" s="6" t="str">
        <x:v>C29</x:v>
      </x:c>
      <x:c r="C30" s="6" t="str">
        <x:v>0805</x:v>
      </x:c>
      <x:c r="D30" s="6" t="str">
        <x:v>CL21B475KOFNFNE</x:v>
      </x:c>
      <x:c r="E30" s="6" t="str"/>
      <x:c r="F30" s="6" t="str"/>
      <x:c r="G30" s="6" t="n">
        <x:v>1</x:v>
      </x:c>
      <x:c r="H30" s="6" t="str">
        <x:v>Exact MPN; verify stock/package</x:v>
      </x:c>
    </x:row>
    <x:row r="31" ht="26.399999618530273" hidden="0" customHeight="1">
      <x:c r="A31" s="6" t="str">
        <x:v>4.7u</x:v>
      </x:c>
      <x:c r="B31" s="6" t="str">
        <x:v>C30</x:v>
      </x:c>
      <x:c r="C31" s="6" t="str">
        <x:v>0805</x:v>
      </x:c>
      <x:c r="D31" s="6" t="str">
        <x:v>CL21B475KOFNFNE</x:v>
      </x:c>
      <x:c r="E31" s="6" t="str"/>
      <x:c r="F31" s="6" t="str"/>
      <x:c r="G31" s="6" t="n">
        <x:v>1</x:v>
      </x:c>
      <x:c r="H31" s="6" t="str">
        <x:v>Exact MPN; verify stock/package</x:v>
      </x:c>
    </x:row>
    <x:row r="32" ht="26.399999618530273" hidden="0" customHeight="1">
      <x:c r="A32" s="6" t="str">
        <x:v>1u</x:v>
      </x:c>
      <x:c r="B32" s="6" t="str">
        <x:v>C31</x:v>
      </x:c>
      <x:c r="C32" s="6" t="str">
        <x:v>0603</x:v>
      </x:c>
      <x:c r="D32" s="6" t="str">
        <x:v>CL10B105KO8NNNC</x:v>
      </x:c>
      <x:c r="E32" s="6" t="str"/>
      <x:c r="F32" s="6" t="str"/>
      <x:c r="G32" s="6" t="n">
        <x:v>1</x:v>
      </x:c>
      <x:c r="H32" s="6" t="str">
        <x:v>Exact MPN; verify stock/package</x:v>
      </x:c>
    </x:row>
    <x:row r="33" ht="26.399999618530273" hidden="0" customHeight="1">
      <x:c r="A33" s="6" t="str">
        <x:v>0.1u</x:v>
      </x:c>
      <x:c r="B33" s="6" t="str">
        <x:v>C32</x:v>
      </x:c>
      <x:c r="C33" s="6" t="str">
        <x:v>0402</x:v>
      </x:c>
      <x:c r="D33" s="6" t="str">
        <x:v>CL05B104KO5NNNC</x:v>
      </x:c>
      <x:c r="E33" s="6" t="str">
        <x:v>SAMSUNG(三星)</x:v>
      </x:c>
      <x:c r="F33" s="6" t="str">
        <x:v>C1525</x:v>
      </x:c>
      <x:c r="G33" s="6" t="n">
        <x:v>1</x:v>
      </x:c>
      <x:c r="H33" s="6" t="str">
        <x:v>Exact MPN; verify stock/package</x:v>
      </x:c>
    </x:row>
    <x:row r="34" ht="26.399999618530273" hidden="0" customHeight="1">
      <x:c r="A34" s="6" t="str">
        <x:v>1u</x:v>
      </x:c>
      <x:c r="B34" s="6" t="str">
        <x:v>C34</x:v>
      </x:c>
      <x:c r="C34" s="6" t="str">
        <x:v>0603</x:v>
      </x:c>
      <x:c r="D34" s="6" t="str">
        <x:v>CL10B105KO8NNNC</x:v>
      </x:c>
      <x:c r="E34" s="6" t="str"/>
      <x:c r="F34" s="6" t="str"/>
      <x:c r="G34" s="6" t="n">
        <x:v>1</x:v>
      </x:c>
      <x:c r="H34" s="6" t="str">
        <x:v>Exact MPN; verify stock/package</x:v>
      </x:c>
    </x:row>
    <x:row r="35" ht="26.399999618530273" hidden="0" customHeight="1">
      <x:c r="A35" s="6" t="str">
        <x:v>0.1u</x:v>
      </x:c>
      <x:c r="B35" s="6" t="str">
        <x:v>C35</x:v>
      </x:c>
      <x:c r="C35" s="6" t="str">
        <x:v>0402</x:v>
      </x:c>
      <x:c r="D35" s="6" t="str">
        <x:v>CL05B104KO5NNNC</x:v>
      </x:c>
      <x:c r="E35" s="6" t="str">
        <x:v>SAMSUNG(三星)</x:v>
      </x:c>
      <x:c r="F35" s="6" t="str">
        <x:v>C1525</x:v>
      </x:c>
      <x:c r="G35" s="6" t="n">
        <x:v>1</x:v>
      </x:c>
      <x:c r="H35" s="6" t="str">
        <x:v>Exact MPN; verify stock/package</x:v>
      </x:c>
    </x:row>
    <x:row r="36" ht="26.399999618530273" hidden="0" customHeight="1">
      <x:c r="A36" s="6" t="str">
        <x:v>1u</x:v>
      </x:c>
      <x:c r="B36" s="6" t="str">
        <x:v>C36</x:v>
      </x:c>
      <x:c r="C36" s="6" t="str">
        <x:v>0603</x:v>
      </x:c>
      <x:c r="D36" s="6" t="str">
        <x:v>CL10B105KO8NNNC</x:v>
      </x:c>
      <x:c r="E36" s="6" t="str"/>
      <x:c r="F36" s="6" t="str"/>
      <x:c r="G36" s="6" t="n">
        <x:v>1</x:v>
      </x:c>
      <x:c r="H36" s="6" t="str">
        <x:v>Exact MPN; verify stock/package</x:v>
      </x:c>
    </x:row>
    <x:row r="37" ht="26.399999618530273" hidden="0" customHeight="1">
      <x:c r="A37" s="6" t="str">
        <x:v>0.1u</x:v>
      </x:c>
      <x:c r="B37" s="6" t="str">
        <x:v>C37</x:v>
      </x:c>
      <x:c r="C37" s="6" t="str">
        <x:v>0402</x:v>
      </x:c>
      <x:c r="D37" s="6" t="str">
        <x:v>CL05B104KO5NNNC</x:v>
      </x:c>
      <x:c r="E37" s="6" t="str">
        <x:v>SAMSUNG(三星)</x:v>
      </x:c>
      <x:c r="F37" s="6" t="str">
        <x:v>C1525</x:v>
      </x:c>
      <x:c r="G37" s="6" t="n">
        <x:v>1</x:v>
      </x:c>
      <x:c r="H37" s="6" t="str">
        <x:v>Exact MPN; verify stock/package</x:v>
      </x:c>
    </x:row>
    <x:row r="38" ht="26.399999618530273" hidden="0" customHeight="1">
      <x:c r="A38" s="6" t="str">
        <x:v>0.1u</x:v>
      </x:c>
      <x:c r="B38" s="6" t="str">
        <x:v>C38</x:v>
      </x:c>
      <x:c r="C38" s="6" t="str">
        <x:v>0402</x:v>
      </x:c>
      <x:c r="D38" s="6" t="str">
        <x:v>CL05B104KO5NNNC</x:v>
      </x:c>
      <x:c r="E38" s="6" t="str">
        <x:v>SAMSUNG(三星)</x:v>
      </x:c>
      <x:c r="F38" s="6" t="str">
        <x:v>C1525</x:v>
      </x:c>
      <x:c r="G38" s="6" t="n">
        <x:v>1</x:v>
      </x:c>
      <x:c r="H38" s="6" t="str">
        <x:v>Exact MPN; verify stock/package</x:v>
      </x:c>
    </x:row>
    <x:row r="39" ht="26.399999618530273" hidden="0" customHeight="1">
      <x:c r="A39" s="6" t="str">
        <x:v>22u</x:v>
      </x:c>
      <x:c r="B39" s="6" t="str">
        <x:v>C39</x:v>
      </x:c>
      <x:c r="C39" s="6" t="str">
        <x:v>0805</x:v>
      </x:c>
      <x:c r="D39" s="6" t="str">
        <x:v>CL21A226MQQNNNE</x:v>
      </x:c>
      <x:c r="E39" s="6" t="str"/>
      <x:c r="F39" s="6" t="str"/>
      <x:c r="G39" s="6" t="n">
        <x:v>1</x:v>
      </x:c>
      <x:c r="H39" s="6" t="str">
        <x:v>Exact MPN; verify stock/package</x:v>
      </x:c>
    </x:row>
    <x:row r="40" ht="26.399999618530273" hidden="0" customHeight="1">
      <x:c r="A40" s="6" t="str">
        <x:v>0.1u</x:v>
      </x:c>
      <x:c r="B40" s="6" t="str">
        <x:v>C40</x:v>
      </x:c>
      <x:c r="C40" s="6" t="str">
        <x:v>0402</x:v>
      </x:c>
      <x:c r="D40" s="6" t="str">
        <x:v>CL05B104KO5NNNC</x:v>
      </x:c>
      <x:c r="E40" s="6" t="str">
        <x:v>SAMSUNG(三星)</x:v>
      </x:c>
      <x:c r="F40" s="6" t="str">
        <x:v>C1525</x:v>
      </x:c>
      <x:c r="G40" s="6" t="n">
        <x:v>1</x:v>
      </x:c>
      <x:c r="H40" s="6" t="str">
        <x:v>Exact MPN; verify stock/package</x:v>
      </x:c>
    </x:row>
    <x:row r="41" ht="26.399999618530273" hidden="0" customHeight="1">
      <x:c r="A41" s="6" t="str">
        <x:v>47u</x:v>
      </x:c>
      <x:c r="B41" s="6" t="str">
        <x:v>C41</x:v>
      </x:c>
      <x:c r="C41" s="6" t="str">
        <x:v>1411</x:v>
      </x:c>
      <x:c r="D41" s="6" t="str">
        <x:v>TPSB476M006R0250</x:v>
      </x:c>
      <x:c r="E41" s="6" t="str"/>
      <x:c r="F41" s="6" t="str"/>
      <x:c r="G41" s="6" t="n">
        <x:v>1</x:v>
      </x:c>
      <x:c r="H41" s="6" t="str">
        <x:v>Exact MPN; verify stock/package</x:v>
      </x:c>
    </x:row>
    <x:row r="42" ht="26.399999618530273" hidden="0" customHeight="1">
      <x:c r="A42" s="6" t="str">
        <x:v>22u</x:v>
      </x:c>
      <x:c r="B42" s="6" t="str">
        <x:v>C42</x:v>
      </x:c>
      <x:c r="C42" s="6" t="str">
        <x:v>0805</x:v>
      </x:c>
      <x:c r="D42" s="6" t="str">
        <x:v>CL21A226MQQNNNE</x:v>
      </x:c>
      <x:c r="E42" s="6" t="str"/>
      <x:c r="F42" s="6" t="str"/>
      <x:c r="G42" s="6" t="n">
        <x:v>1</x:v>
      </x:c>
      <x:c r="H42" s="6" t="str">
        <x:v>Exact MPN; verify stock/package</x:v>
      </x:c>
    </x:row>
    <x:row r="43" ht="26.399999618530273" hidden="0" customHeight="1">
      <x:c r="A43" s="6" t="str">
        <x:v>10u</x:v>
      </x:c>
      <x:c r="B43" s="6" t="str">
        <x:v>C43</x:v>
      </x:c>
      <x:c r="C43" s="6" t="str">
        <x:v>0603</x:v>
      </x:c>
      <x:c r="D43" s="6" t="str">
        <x:v>CL10A106KP8NNNC</x:v>
      </x:c>
      <x:c r="E43" s="6" t="str"/>
      <x:c r="F43" s="6" t="str"/>
      <x:c r="G43" s="6" t="n">
        <x:v>1</x:v>
      </x:c>
      <x:c r="H43" s="6" t="str">
        <x:v>Exact MPN; verify stock/package</x:v>
      </x:c>
    </x:row>
    <x:row r="44" ht="26.399999618530273" hidden="0" customHeight="1">
      <x:c r="A44" s="6" t="str">
        <x:v>0.1u</x:v>
      </x:c>
      <x:c r="B44" s="6" t="str">
        <x:v>C44</x:v>
      </x:c>
      <x:c r="C44" s="6" t="str">
        <x:v>0402</x:v>
      </x:c>
      <x:c r="D44" s="6" t="str">
        <x:v>CL05B104KO5NNNC</x:v>
      </x:c>
      <x:c r="E44" s="6" t="str">
        <x:v>SAMSUNG(三星)</x:v>
      </x:c>
      <x:c r="F44" s="6" t="str">
        <x:v>C1525</x:v>
      </x:c>
      <x:c r="G44" s="6" t="n">
        <x:v>1</x:v>
      </x:c>
      <x:c r="H44" s="6" t="str">
        <x:v>Exact MPN; verify stock/package</x:v>
      </x:c>
    </x:row>
    <x:row r="45" ht="26.399999618530273" hidden="0" customHeight="1">
      <x:c r="A45" s="6" t="str">
        <x:v>22u</x:v>
      </x:c>
      <x:c r="B45" s="6" t="str">
        <x:v>C45</x:v>
      </x:c>
      <x:c r="C45" s="6" t="str">
        <x:v>0805</x:v>
      </x:c>
      <x:c r="D45" s="6" t="str">
        <x:v>CL21A226MQQNNNE</x:v>
      </x:c>
      <x:c r="E45" s="6" t="str"/>
      <x:c r="F45" s="6" t="str"/>
      <x:c r="G45" s="6" t="n">
        <x:v>1</x:v>
      </x:c>
      <x:c r="H45" s="6" t="str">
        <x:v>Exact MPN; verify stock/package</x:v>
      </x:c>
    </x:row>
    <x:row r="46" ht="26.399999618530273" hidden="0" customHeight="1">
      <x:c r="A46" s="6" t="str">
        <x:v>22u</x:v>
      </x:c>
      <x:c r="B46" s="6" t="str">
        <x:v>C46</x:v>
      </x:c>
      <x:c r="C46" s="6" t="str">
        <x:v>0805</x:v>
      </x:c>
      <x:c r="D46" s="6" t="str">
        <x:v>CL21A226MQQNNNE</x:v>
      </x:c>
      <x:c r="E46" s="6" t="str"/>
      <x:c r="F46" s="6" t="str"/>
      <x:c r="G46" s="6" t="n">
        <x:v>1</x:v>
      </x:c>
      <x:c r="H46" s="6" t="str">
        <x:v>Exact MPN; verify stock/package</x:v>
      </x:c>
    </x:row>
    <x:row r="47" ht="26.399999618530273" hidden="0" customHeight="1">
      <x:c r="A47" s="6" t="str">
        <x:v>0.1u</x:v>
      </x:c>
      <x:c r="B47" s="6" t="str">
        <x:v>C47</x:v>
      </x:c>
      <x:c r="C47" s="6" t="str">
        <x:v>0402</x:v>
      </x:c>
      <x:c r="D47" s="6" t="str">
        <x:v>CL05B104KO5NNNC</x:v>
      </x:c>
      <x:c r="E47" s="6" t="str">
        <x:v>SAMSUNG(三星)</x:v>
      </x:c>
      <x:c r="F47" s="6" t="str">
        <x:v>C1525</x:v>
      </x:c>
      <x:c r="G47" s="6" t="n">
        <x:v>1</x:v>
      </x:c>
      <x:c r="H47" s="6" t="str">
        <x:v>Exact MPN; verify stock/package</x:v>
      </x:c>
    </x:row>
    <x:row r="48" ht="26.399999618530273" hidden="0" customHeight="1">
      <x:c r="A48" s="6" t="str">
        <x:v>0.1u</x:v>
      </x:c>
      <x:c r="B48" s="6" t="str">
        <x:v>C48</x:v>
      </x:c>
      <x:c r="C48" s="6" t="str">
        <x:v>0402</x:v>
      </x:c>
      <x:c r="D48" s="6" t="str">
        <x:v>CL05B104KO5NNNC</x:v>
      </x:c>
      <x:c r="E48" s="6" t="str">
        <x:v>SAMSUNG(三星)</x:v>
      </x:c>
      <x:c r="F48" s="6" t="str">
        <x:v>C1525</x:v>
      </x:c>
      <x:c r="G48" s="6" t="n">
        <x:v>1</x:v>
      </x:c>
      <x:c r="H48" s="6" t="str">
        <x:v>Exact MPN; verify stock/package</x:v>
      </x:c>
    </x:row>
    <x:row r="49" ht="26.399999618530273" hidden="0" customHeight="1">
      <x:c r="A49" s="6" t="str">
        <x:v>0.1u</x:v>
      </x:c>
      <x:c r="B49" s="6" t="str">
        <x:v>C49</x:v>
      </x:c>
      <x:c r="C49" s="6" t="str">
        <x:v>0402</x:v>
      </x:c>
      <x:c r="D49" s="6" t="str">
        <x:v>CL05B104KO5NNNC</x:v>
      </x:c>
      <x:c r="E49" s="6" t="str">
        <x:v>SAMSUNG(三星)</x:v>
      </x:c>
      <x:c r="F49" s="6" t="str">
        <x:v>C1525</x:v>
      </x:c>
      <x:c r="G49" s="6" t="n">
        <x:v>1</x:v>
      </x:c>
      <x:c r="H49" s="6" t="str">
        <x:v>Exact MPN; verify stock/package</x:v>
      </x:c>
    </x:row>
    <x:row r="50" ht="26.399999618530273" hidden="0" customHeight="1">
      <x:c r="A50" s="6" t="str">
        <x:v>0.1u</x:v>
      </x:c>
      <x:c r="B50" s="6" t="str">
        <x:v>C50</x:v>
      </x:c>
      <x:c r="C50" s="6" t="str">
        <x:v>0402</x:v>
      </x:c>
      <x:c r="D50" s="6" t="str">
        <x:v>CL05B104KO5NNNC</x:v>
      </x:c>
      <x:c r="E50" s="6" t="str">
        <x:v>SAMSUNG(三星)</x:v>
      </x:c>
      <x:c r="F50" s="6" t="str">
        <x:v>C1525</x:v>
      </x:c>
      <x:c r="G50" s="6" t="n">
        <x:v>1</x:v>
      </x:c>
      <x:c r="H50" s="6" t="str">
        <x:v>Exact MPN; verify stock/package</x:v>
      </x:c>
    </x:row>
    <x:row r="51" ht="26.399999618530273" hidden="0" customHeight="1">
      <x:c r="A51" s="6" t="str">
        <x:v>0.1u</x:v>
      </x:c>
      <x:c r="B51" s="6" t="str">
        <x:v>C51</x:v>
      </x:c>
      <x:c r="C51" s="6" t="str">
        <x:v>0402</x:v>
      </x:c>
      <x:c r="D51" s="6" t="str">
        <x:v>CL05B104KO5NNNC</x:v>
      </x:c>
      <x:c r="E51" s="6" t="str">
        <x:v>SAMSUNG(三星)</x:v>
      </x:c>
      <x:c r="F51" s="6" t="str">
        <x:v>C1525</x:v>
      </x:c>
      <x:c r="G51" s="6" t="n">
        <x:v>1</x:v>
      </x:c>
      <x:c r="H51" s="6" t="str">
        <x:v>Exact MPN; verify stock/package</x:v>
      </x:c>
    </x:row>
    <x:row r="52" ht="26.399999618530273" hidden="0" customHeight="1">
      <x:c r="A52" s="6" t="str">
        <x:v>0.1u</x:v>
      </x:c>
      <x:c r="B52" s="6" t="str">
        <x:v>C52</x:v>
      </x:c>
      <x:c r="C52" s="6" t="str">
        <x:v>0402</x:v>
      </x:c>
      <x:c r="D52" s="6" t="str">
        <x:v>CL05B104KO5NNNC</x:v>
      </x:c>
      <x:c r="E52" s="6" t="str">
        <x:v>SAMSUNG(三星)</x:v>
      </x:c>
      <x:c r="F52" s="6" t="str">
        <x:v>C1525</x:v>
      </x:c>
      <x:c r="G52" s="6" t="n">
        <x:v>1</x:v>
      </x:c>
      <x:c r="H52" s="6" t="str">
        <x:v>Exact MPN; verify stock/package</x:v>
      </x:c>
    </x:row>
    <x:row r="53" ht="26.399999618530273" hidden="0" customHeight="1">
      <x:c r="A53" s="6" t="str">
        <x:v>0.1u</x:v>
      </x:c>
      <x:c r="B53" s="6" t="str">
        <x:v>C53</x:v>
      </x:c>
      <x:c r="C53" s="6" t="str">
        <x:v>0402</x:v>
      </x:c>
      <x:c r="D53" s="6" t="str">
        <x:v>CL05B104KO5NNNC</x:v>
      </x:c>
      <x:c r="E53" s="6" t="str">
        <x:v>SAMSUNG(三星)</x:v>
      </x:c>
      <x:c r="F53" s="6" t="str">
        <x:v>C1525</x:v>
      </x:c>
      <x:c r="G53" s="6" t="n">
        <x:v>1</x:v>
      </x:c>
      <x:c r="H53" s="6" t="str">
        <x:v>Exact MPN; verify stock/package</x:v>
      </x:c>
    </x:row>
    <x:row r="54" ht="26.399999618530273" hidden="0" customHeight="1">
      <x:c r="A54" s="6" t="str">
        <x:v>0.1u</x:v>
      </x:c>
      <x:c r="B54" s="6" t="str">
        <x:v>C54</x:v>
      </x:c>
      <x:c r="C54" s="6" t="str">
        <x:v>0402</x:v>
      </x:c>
      <x:c r="D54" s="6" t="str">
        <x:v>CL05B104KO5NNNC</x:v>
      </x:c>
      <x:c r="E54" s="6" t="str">
        <x:v>SAMSUNG(三星)</x:v>
      </x:c>
      <x:c r="F54" s="6" t="str">
        <x:v>C1525</x:v>
      </x:c>
      <x:c r="G54" s="6" t="n">
        <x:v>1</x:v>
      </x:c>
      <x:c r="H54" s="6" t="str">
        <x:v>Exact MPN; verify stock/package</x:v>
      </x:c>
    </x:row>
    <x:row r="55" ht="26.399999618530273" hidden="0" customHeight="1">
      <x:c r="A55" s="6" t="str">
        <x:v>0.1u</x:v>
      </x:c>
      <x:c r="B55" s="6" t="str">
        <x:v>C55</x:v>
      </x:c>
      <x:c r="C55" s="6" t="str">
        <x:v>0402</x:v>
      </x:c>
      <x:c r="D55" s="6" t="str">
        <x:v>CL05B104KO5NNNC</x:v>
      </x:c>
      <x:c r="E55" s="6" t="str">
        <x:v>SAMSUNG(三星)</x:v>
      </x:c>
      <x:c r="F55" s="6" t="str">
        <x:v>C1525</x:v>
      </x:c>
      <x:c r="G55" s="6" t="n">
        <x:v>1</x:v>
      </x:c>
      <x:c r="H55" s="6" t="str">
        <x:v>Exact MPN; verify stock/package</x:v>
      </x:c>
    </x:row>
    <x:row r="56" ht="26.399999618530273" hidden="0" customHeight="1">
      <x:c r="A56" s="6" t="str">
        <x:v>0.1u</x:v>
      </x:c>
      <x:c r="B56" s="6" t="str">
        <x:v>C56</x:v>
      </x:c>
      <x:c r="C56" s="6" t="str">
        <x:v>0402</x:v>
      </x:c>
      <x:c r="D56" s="6" t="str">
        <x:v>CL05B104KO5NNNC</x:v>
      </x:c>
      <x:c r="E56" s="6" t="str">
        <x:v>SAMSUNG(三星)</x:v>
      </x:c>
      <x:c r="F56" s="6" t="str">
        <x:v>C1525</x:v>
      </x:c>
      <x:c r="G56" s="6" t="n">
        <x:v>1</x:v>
      </x:c>
      <x:c r="H56" s="6" t="str">
        <x:v>Exact MPN; verify stock/package</x:v>
      </x:c>
    </x:row>
    <x:row r="57" ht="26.399999618530273" hidden="0" customHeight="1">
      <x:c r="A57" s="6" t="str">
        <x:v>0.1u</x:v>
      </x:c>
      <x:c r="B57" s="6" t="str">
        <x:v>C57</x:v>
      </x:c>
      <x:c r="C57" s="6" t="str">
        <x:v>0402</x:v>
      </x:c>
      <x:c r="D57" s="6" t="str">
        <x:v>CL05B104KO5NNNC</x:v>
      </x:c>
      <x:c r="E57" s="6" t="str">
        <x:v>SAMSUNG(三星)</x:v>
      </x:c>
      <x:c r="F57" s="6" t="str">
        <x:v>C1525</x:v>
      </x:c>
      <x:c r="G57" s="6" t="n">
        <x:v>1</x:v>
      </x:c>
      <x:c r="H57" s="6" t="str">
        <x:v>Exact MPN; verify stock/package</x:v>
      </x:c>
    </x:row>
    <x:row r="58" ht="26.399999618530273" hidden="0" customHeight="1">
      <x:c r="A58" s="6" t="str">
        <x:v>0.1u</x:v>
      </x:c>
      <x:c r="B58" s="6" t="str">
        <x:v>C58</x:v>
      </x:c>
      <x:c r="C58" s="6" t="str">
        <x:v>0402</x:v>
      </x:c>
      <x:c r="D58" s="6" t="str">
        <x:v>CL05B104KO5NNNC</x:v>
      </x:c>
      <x:c r="E58" s="6" t="str">
        <x:v>SAMSUNG(三星)</x:v>
      </x:c>
      <x:c r="F58" s="6" t="str">
        <x:v>C1525</x:v>
      </x:c>
      <x:c r="G58" s="6" t="n">
        <x:v>1</x:v>
      </x:c>
      <x:c r="H58" s="6" t="str">
        <x:v>Exact MPN; verify stock/package</x:v>
      </x:c>
    </x:row>
    <x:row r="59" ht="26.399999618530273" hidden="0" customHeight="1">
      <x:c r="A59" s="6" t="str">
        <x:v>0.1u</x:v>
      </x:c>
      <x:c r="B59" s="6" t="str">
        <x:v>C59</x:v>
      </x:c>
      <x:c r="C59" s="6" t="str">
        <x:v>0402</x:v>
      </x:c>
      <x:c r="D59" s="6" t="str">
        <x:v>CL05B104KO5NNNC</x:v>
      </x:c>
      <x:c r="E59" s="6" t="str">
        <x:v>SAMSUNG(三星)</x:v>
      </x:c>
      <x:c r="F59" s="6" t="str">
        <x:v>C1525</x:v>
      </x:c>
      <x:c r="G59" s="6" t="n">
        <x:v>1</x:v>
      </x:c>
      <x:c r="H59" s="6" t="str">
        <x:v>Exact MPN; verify stock/package</x:v>
      </x:c>
    </x:row>
    <x:row r="60" ht="26.399999618530273" hidden="0" customHeight="1">
      <x:c r="A60" s="6" t="str">
        <x:v>0.1u</x:v>
      </x:c>
      <x:c r="B60" s="6" t="str">
        <x:v>C60</x:v>
      </x:c>
      <x:c r="C60" s="6" t="str">
        <x:v>0402</x:v>
      </x:c>
      <x:c r="D60" s="6" t="str">
        <x:v>CL05B104KO5NNNC</x:v>
      </x:c>
      <x:c r="E60" s="6" t="str">
        <x:v>SAMSUNG(三星)</x:v>
      </x:c>
      <x:c r="F60" s="6" t="str">
        <x:v>C1525</x:v>
      </x:c>
      <x:c r="G60" s="6" t="n">
        <x:v>1</x:v>
      </x:c>
      <x:c r="H60" s="6" t="str">
        <x:v>Exact MPN; verify stock/package</x:v>
      </x:c>
    </x:row>
    <x:row r="61" ht="26.399999618530273" hidden="0" customHeight="1">
      <x:c r="A61" s="6" t="str">
        <x:v>0.1u</x:v>
      </x:c>
      <x:c r="B61" s="6" t="str">
        <x:v>C61</x:v>
      </x:c>
      <x:c r="C61" s="6" t="str">
        <x:v>0402</x:v>
      </x:c>
      <x:c r="D61" s="6" t="str">
        <x:v>CL05B104KO5NNNC</x:v>
      </x:c>
      <x:c r="E61" s="6" t="str">
        <x:v>SAMSUNG(三星)</x:v>
      </x:c>
      <x:c r="F61" s="6" t="str">
        <x:v>C1525</x:v>
      </x:c>
      <x:c r="G61" s="6" t="n">
        <x:v>1</x:v>
      </x:c>
      <x:c r="H61" s="6" t="str">
        <x:v>Exact MPN; verify stock/package</x:v>
      </x:c>
    </x:row>
    <x:row r="62" ht="26.399999618530273" hidden="0" customHeight="1">
      <x:c r="A62" s="6" t="str">
        <x:v>0.1u</x:v>
      </x:c>
      <x:c r="B62" s="6" t="str">
        <x:v>C62</x:v>
      </x:c>
      <x:c r="C62" s="6" t="str">
        <x:v>0402</x:v>
      </x:c>
      <x:c r="D62" s="6" t="str">
        <x:v>CL05B104KO5NNNC</x:v>
      </x:c>
      <x:c r="E62" s="6" t="str">
        <x:v>SAMSUNG(三星)</x:v>
      </x:c>
      <x:c r="F62" s="6" t="str">
        <x:v>C1525</x:v>
      </x:c>
      <x:c r="G62" s="6" t="n">
        <x:v>1</x:v>
      </x:c>
      <x:c r="H62" s="6" t="str">
        <x:v>Exact MPN; verify stock/package</x:v>
      </x:c>
    </x:row>
    <x:row r="63" ht="26.399999618530273" hidden="0" customHeight="1">
      <x:c r="A63" s="6" t="str">
        <x:v>0.1u</x:v>
      </x:c>
      <x:c r="B63" s="6" t="str">
        <x:v>C63</x:v>
      </x:c>
      <x:c r="C63" s="6" t="str">
        <x:v>0402</x:v>
      </x:c>
      <x:c r="D63" s="6" t="str">
        <x:v>CL05B104KO5NNNC</x:v>
      </x:c>
      <x:c r="E63" s="6" t="str">
        <x:v>SAMSUNG(三星)</x:v>
      </x:c>
      <x:c r="F63" s="6" t="str">
        <x:v>C1525</x:v>
      </x:c>
      <x:c r="G63" s="6" t="n">
        <x:v>1</x:v>
      </x:c>
      <x:c r="H63" s="6" t="str">
        <x:v>Exact MPN; verify stock/package</x:v>
      </x:c>
    </x:row>
    <x:row r="64" ht="26.399999618530273" hidden="0" customHeight="1">
      <x:c r="A64" s="6" t="str">
        <x:v>10u</x:v>
      </x:c>
      <x:c r="B64" s="6" t="str">
        <x:v>C64</x:v>
      </x:c>
      <x:c r="C64" s="6" t="str">
        <x:v>0603</x:v>
      </x:c>
      <x:c r="D64" s="6" t="str">
        <x:v>CL10A106KP8NNNC</x:v>
      </x:c>
      <x:c r="E64" s="6" t="str"/>
      <x:c r="F64" s="6" t="str"/>
      <x:c r="G64" s="6" t="n">
        <x:v>1</x:v>
      </x:c>
      <x:c r="H64" s="6" t="str">
        <x:v>Exact MPN; verify stock/package</x:v>
      </x:c>
    </x:row>
    <x:row r="65" ht="26.399999618530273" hidden="0" customHeight="1">
      <x:c r="A65" s="6" t="str">
        <x:v>0.1u</x:v>
      </x:c>
      <x:c r="B65" s="6" t="str">
        <x:v>C65</x:v>
      </x:c>
      <x:c r="C65" s="6" t="str">
        <x:v>0402</x:v>
      </x:c>
      <x:c r="D65" s="6" t="str">
        <x:v>CL05B104KO5NNNC</x:v>
      </x:c>
      <x:c r="E65" s="6" t="str">
        <x:v>SAMSUNG(三星)</x:v>
      </x:c>
      <x:c r="F65" s="6" t="str">
        <x:v>C1525</x:v>
      </x:c>
      <x:c r="G65" s="6" t="n">
        <x:v>1</x:v>
      </x:c>
      <x:c r="H65" s="6" t="str">
        <x:v>Exact MPN; verify stock/package</x:v>
      </x:c>
    </x:row>
    <x:row r="66" ht="26.399999618530273" hidden="0" customHeight="1">
      <x:c r="A66" s="6" t="str">
        <x:v>0.1u</x:v>
      </x:c>
      <x:c r="B66" s="6" t="str">
        <x:v>C66</x:v>
      </x:c>
      <x:c r="C66" s="6" t="str">
        <x:v>0402</x:v>
      </x:c>
      <x:c r="D66" s="6" t="str">
        <x:v>CL05B104KO5NNNC</x:v>
      </x:c>
      <x:c r="E66" s="6" t="str">
        <x:v>SAMSUNG(三星)</x:v>
      </x:c>
      <x:c r="F66" s="6" t="str">
        <x:v>C1525</x:v>
      </x:c>
      <x:c r="G66" s="6" t="n">
        <x:v>1</x:v>
      </x:c>
      <x:c r="H66" s="6" t="str">
        <x:v>Exact MPN; verify stock/package</x:v>
      </x:c>
    </x:row>
    <x:row r="67" ht="26.399999618530273" hidden="0" customHeight="1">
      <x:c r="A67" s="6" t="str">
        <x:v>0.1u</x:v>
      </x:c>
      <x:c r="B67" s="6" t="str">
        <x:v>C67</x:v>
      </x:c>
      <x:c r="C67" s="6" t="str">
        <x:v>0402</x:v>
      </x:c>
      <x:c r="D67" s="6" t="str">
        <x:v>CL05B104KO5NNNC</x:v>
      </x:c>
      <x:c r="E67" s="6" t="str">
        <x:v>SAMSUNG(三星)</x:v>
      </x:c>
      <x:c r="F67" s="6" t="str">
        <x:v>C1525</x:v>
      </x:c>
      <x:c r="G67" s="6" t="n">
        <x:v>1</x:v>
      </x:c>
      <x:c r="H67" s="6" t="str">
        <x:v>Exact MPN; verify stock/package</x:v>
      </x:c>
    </x:row>
    <x:row r="68" ht="26.399999618530273" hidden="0" customHeight="1">
      <x:c r="A68" s="6" t="str">
        <x:v>1u</x:v>
      </x:c>
      <x:c r="B68" s="6" t="str">
        <x:v>C68</x:v>
      </x:c>
      <x:c r="C68" s="6" t="str">
        <x:v>0603</x:v>
      </x:c>
      <x:c r="D68" s="6" t="str">
        <x:v>CL10B105KO8NNNC</x:v>
      </x:c>
      <x:c r="E68" s="6" t="str"/>
      <x:c r="F68" s="6" t="str"/>
      <x:c r="G68" s="6" t="n">
        <x:v>1</x:v>
      </x:c>
      <x:c r="H68" s="6" t="str">
        <x:v>Exact MPN; verify stock/package</x:v>
      </x:c>
    </x:row>
    <x:row r="69" ht="26.399999618530273" hidden="0" customHeight="1">
      <x:c r="A69" s="6" t="str">
        <x:v>470p</x:v>
      </x:c>
      <x:c r="B69" s="6" t="str">
        <x:v>C69</x:v>
      </x:c>
      <x:c r="C69" s="6" t="str">
        <x:v>0402</x:v>
      </x:c>
      <x:c r="D69" s="6" t="str">
        <x:v>CL05B471KB5NNNC</x:v>
      </x:c>
      <x:c r="E69" s="6" t="str"/>
      <x:c r="F69" s="6" t="str"/>
      <x:c r="G69" s="6" t="n">
        <x:v>1</x:v>
      </x:c>
      <x:c r="H69" s="6" t="str">
        <x:v>Exact MPN; verify stock/package</x:v>
      </x:c>
    </x:row>
    <x:row r="70" ht="26.399999618530273" hidden="0" customHeight="1">
      <x:c r="A70" s="6" t="str">
        <x:v>1n</x:v>
      </x:c>
      <x:c r="B70" s="6" t="str">
        <x:v>C70</x:v>
      </x:c>
      <x:c r="C70" s="6" t="str">
        <x:v>1206</x:v>
      </x:c>
      <x:c r="D70" s="6" t="str">
        <x:v>CL31B102KJHNNNE</x:v>
      </x:c>
      <x:c r="E70" s="6" t="str"/>
      <x:c r="F70" s="6" t="str"/>
      <x:c r="G70" s="6" t="n">
        <x:v>1</x:v>
      </x:c>
      <x:c r="H70" s="6" t="str">
        <x:v>Exact MPN; verify stock/package</x:v>
      </x:c>
    </x:row>
    <x:row r="71" ht="26.399999618530273" hidden="0" customHeight="1">
      <x:c r="A71" s="6" t="str">
        <x:v>0.1u</x:v>
      </x:c>
      <x:c r="B71" s="6" t="str">
        <x:v>C71</x:v>
      </x:c>
      <x:c r="C71" s="6" t="str">
        <x:v>0402</x:v>
      </x:c>
      <x:c r="D71" s="6" t="str">
        <x:v>CL05B104KO5NNNC</x:v>
      </x:c>
      <x:c r="E71" s="6" t="str">
        <x:v>SAMSUNG(三星)</x:v>
      </x:c>
      <x:c r="F71" s="6" t="str">
        <x:v>C1525</x:v>
      </x:c>
      <x:c r="G71" s="6" t="n">
        <x:v>1</x:v>
      </x:c>
      <x:c r="H71" s="6" t="str">
        <x:v>Exact MPN; verify stock/package</x:v>
      </x:c>
    </x:row>
    <x:row r="72" ht="26.399999618530273" hidden="0" customHeight="1">
      <x:c r="A72" s="6" t="str">
        <x:v>0.1u</x:v>
      </x:c>
      <x:c r="B72" s="6" t="str">
        <x:v>C72</x:v>
      </x:c>
      <x:c r="C72" s="6" t="str">
        <x:v>0402</x:v>
      </x:c>
      <x:c r="D72" s="6" t="str">
        <x:v>CL05B104KO5NNNC</x:v>
      </x:c>
      <x:c r="E72" s="6" t="str">
        <x:v>SAMSUNG(三星)</x:v>
      </x:c>
      <x:c r="F72" s="6" t="str">
        <x:v>C1525</x:v>
      </x:c>
      <x:c r="G72" s="6" t="n">
        <x:v>1</x:v>
      </x:c>
      <x:c r="H72" s="6" t="str">
        <x:v>Exact MPN; verify stock/package</x:v>
      </x:c>
    </x:row>
    <x:row r="73" ht="26.399999618530273" hidden="0" customHeight="1">
      <x:c r="A73" s="6" t="str">
        <x:v>0.1u</x:v>
      </x:c>
      <x:c r="B73" s="6" t="str">
        <x:v>C73</x:v>
      </x:c>
      <x:c r="C73" s="6" t="str">
        <x:v>0402</x:v>
      </x:c>
      <x:c r="D73" s="6" t="str">
        <x:v>CL05B104KO5NNNC</x:v>
      </x:c>
      <x:c r="E73" s="6" t="str">
        <x:v>SAMSUNG(三星)</x:v>
      </x:c>
      <x:c r="F73" s="6" t="str">
        <x:v>C1525</x:v>
      </x:c>
      <x:c r="G73" s="6" t="n">
        <x:v>1</x:v>
      </x:c>
      <x:c r="H73" s="6" t="str">
        <x:v>Exact MPN; verify stock/package</x:v>
      </x:c>
    </x:row>
    <x:row r="74" ht="26.399999618530273" hidden="0" customHeight="1">
      <x:c r="A74" s="6" t="str">
        <x:v>0.1u</x:v>
      </x:c>
      <x:c r="B74" s="6" t="str">
        <x:v>C74</x:v>
      </x:c>
      <x:c r="C74" s="6" t="str">
        <x:v>0402</x:v>
      </x:c>
      <x:c r="D74" s="6" t="str">
        <x:v>CL05B104KO5NNNC</x:v>
      </x:c>
      <x:c r="E74" s="6" t="str">
        <x:v>SAMSUNG(三星)</x:v>
      </x:c>
      <x:c r="F74" s="6" t="str">
        <x:v>C1525</x:v>
      </x:c>
      <x:c r="G74" s="6" t="n">
        <x:v>1</x:v>
      </x:c>
      <x:c r="H74" s="6" t="str">
        <x:v>Exact MPN; verify stock/package</x:v>
      </x:c>
    </x:row>
    <x:row r="75" ht="26.399999618530273" hidden="0" customHeight="1">
      <x:c r="A75" s="6" t="str">
        <x:v>0.1u</x:v>
      </x:c>
      <x:c r="B75" s="6" t="str">
        <x:v>C75</x:v>
      </x:c>
      <x:c r="C75" s="6" t="str">
        <x:v>0402</x:v>
      </x:c>
      <x:c r="D75" s="6" t="str">
        <x:v>CL05B104KO5NNNC</x:v>
      </x:c>
      <x:c r="E75" s="6" t="str">
        <x:v>SAMSUNG(三星)</x:v>
      </x:c>
      <x:c r="F75" s="6" t="str">
        <x:v>C1525</x:v>
      </x:c>
      <x:c r="G75" s="6" t="n">
        <x:v>1</x:v>
      </x:c>
      <x:c r="H75" s="6" t="str">
        <x:v>Exact MPN; verify stock/package</x:v>
      </x:c>
    </x:row>
    <x:row r="76" ht="26.399999618530273" hidden="0" customHeight="1">
      <x:c r="A76" s="6" t="str">
        <x:v>0.1u</x:v>
      </x:c>
      <x:c r="B76" s="6" t="str">
        <x:v>C76</x:v>
      </x:c>
      <x:c r="C76" s="6" t="str">
        <x:v>0402</x:v>
      </x:c>
      <x:c r="D76" s="6" t="str">
        <x:v>CL05B104KO5NNNC</x:v>
      </x:c>
      <x:c r="E76" s="6" t="str">
        <x:v>SAMSUNG(三星)</x:v>
      </x:c>
      <x:c r="F76" s="6" t="str">
        <x:v>C1525</x:v>
      </x:c>
      <x:c r="G76" s="6" t="n">
        <x:v>1</x:v>
      </x:c>
      <x:c r="H76" s="6" t="str">
        <x:v>Exact MPN; verify stock/package</x:v>
      </x:c>
    </x:row>
    <x:row r="77" ht="26.399999618530273" hidden="0" customHeight="1">
      <x:c r="A77" s="6" t="str">
        <x:v>10nF 5% 25 V or greater</x:v>
      </x:c>
      <x:c r="B77" s="6" t="str">
        <x:v>C80</x:v>
      </x:c>
      <x:c r="C77" s="6" t="str">
        <x:v>0402</x:v>
      </x:c>
      <x:c r="D77" s="6" t="str">
        <x:v>GRM1555C1E103JE01D</x:v>
      </x:c>
      <x:c r="E77" s="6" t="str">
        <x:v>muRata(村田)</x:v>
      </x:c>
      <x:c r="F77" s="6" t="str">
        <x:v>C3855387</x:v>
      </x:c>
      <x:c r="G77" s="6" t="n">
        <x:v>1</x:v>
      </x:c>
      <x:c r="H77" s="6" t="str">
        <x:v>Proposed new MPN; verify stock/package</x:v>
      </x:c>
    </x:row>
    <x:row r="78" ht="26.399999618530273" hidden="0" customHeight="1">
      <x:c r="A78" s="6" t="str">
        <x:v>10nF 5% 25 V or greater</x:v>
      </x:c>
      <x:c r="B78" s="6" t="str">
        <x:v>C81</x:v>
      </x:c>
      <x:c r="C78" s="6" t="str">
        <x:v>0402</x:v>
      </x:c>
      <x:c r="D78" s="6" t="str">
        <x:v>GRM1555C1E103JE01D</x:v>
      </x:c>
      <x:c r="E78" s="6" t="str">
        <x:v>muRata(村田)</x:v>
      </x:c>
      <x:c r="F78" s="6" t="str">
        <x:v>C3855387</x:v>
      </x:c>
      <x:c r="G78" s="6" t="n">
        <x:v>1</x:v>
      </x:c>
      <x:c r="H78" s="6" t="str">
        <x:v>Proposed new MPN; verify stock/package</x:v>
      </x:c>
    </x:row>
    <x:row r="79" ht="26.399999618530273" hidden="0" customHeight="1">
      <x:c r="A79" s="6" t="str">
        <x:v>10nF 5% 25 V or greater</x:v>
      </x:c>
      <x:c r="B79" s="6" t="str">
        <x:v>C82</x:v>
      </x:c>
      <x:c r="C79" s="6" t="str">
        <x:v>0402</x:v>
      </x:c>
      <x:c r="D79" s="6" t="str">
        <x:v>GRM1555C1E103JE01D</x:v>
      </x:c>
      <x:c r="E79" s="6" t="str">
        <x:v>muRata(村田)</x:v>
      </x:c>
      <x:c r="F79" s="6" t="str">
        <x:v>C3855387</x:v>
      </x:c>
      <x:c r="G79" s="6" t="n">
        <x:v>1</x:v>
      </x:c>
      <x:c r="H79" s="6" t="str">
        <x:v>Proposed new MPN; verify stock/package</x:v>
      </x:c>
    </x:row>
    <x:row r="80" ht="26.399999618530273" hidden="0" customHeight="1">
      <x:c r="A80" s="6" t="str">
        <x:v>10nF 5% 25 V or greater</x:v>
      </x:c>
      <x:c r="B80" s="6" t="str">
        <x:v>C86</x:v>
      </x:c>
      <x:c r="C80" s="6" t="str">
        <x:v>0402</x:v>
      </x:c>
      <x:c r="D80" s="6" t="str">
        <x:v>GRM1555C1E103JE01D</x:v>
      </x:c>
      <x:c r="E80" s="6" t="str">
        <x:v>muRata(村田)</x:v>
      </x:c>
      <x:c r="F80" s="6" t="str">
        <x:v>C3855387</x:v>
      </x:c>
      <x:c r="G80" s="6" t="n">
        <x:v>1</x:v>
      </x:c>
      <x:c r="H80" s="6" t="str">
        <x:v>Proposed new MPN; verify stock/package</x:v>
      </x:c>
    </x:row>
    <x:row r="81" ht="26.399999618530273" hidden="0" customHeight="1">
      <x:c r="A81" s="6" t="str">
        <x:v>10nF 5% 25 V or greater</x:v>
      </x:c>
      <x:c r="B81" s="6" t="str">
        <x:v>C87</x:v>
      </x:c>
      <x:c r="C81" s="6" t="str">
        <x:v>0402</x:v>
      </x:c>
      <x:c r="D81" s="6" t="str">
        <x:v>GRM1555C1E103JE01D</x:v>
      </x:c>
      <x:c r="E81" s="6" t="str">
        <x:v>muRata(村田)</x:v>
      </x:c>
      <x:c r="F81" s="6" t="str">
        <x:v>C3855387</x:v>
      </x:c>
      <x:c r="G81" s="6" t="n">
        <x:v>1</x:v>
      </x:c>
      <x:c r="H81" s="6" t="str">
        <x:v>Proposed new MPN; verify stock/package</x:v>
      </x:c>
    </x:row>
    <x:row r="82" ht="26.399999618530273" hidden="0" customHeight="1">
      <x:c r="A82" s="6" t="str">
        <x:v>10nF 5% 25 V or greater</x:v>
      </x:c>
      <x:c r="B82" s="6" t="str">
        <x:v>C88</x:v>
      </x:c>
      <x:c r="C82" s="6" t="str">
        <x:v>0402</x:v>
      </x:c>
      <x:c r="D82" s="6" t="str">
        <x:v>GRM1555C1E103JE01D</x:v>
      </x:c>
      <x:c r="E82" s="6" t="str">
        <x:v>muRata(村田)</x:v>
      </x:c>
      <x:c r="F82" s="6" t="str">
        <x:v>C3855387</x:v>
      </x:c>
      <x:c r="G82" s="6" t="n">
        <x:v>1</x:v>
      </x:c>
      <x:c r="H82" s="6" t="str">
        <x:v>Proposed new MPN; verify stock/package</x:v>
      </x:c>
    </x:row>
    <x:row r="83" ht="26.399999618530273" hidden="0" customHeight="1">
      <x:c r="A83" s="6" t="str">
        <x:v>10nF 5% 25 V or greater</x:v>
      </x:c>
      <x:c r="B83" s="6" t="str">
        <x:v>C93</x:v>
      </x:c>
      <x:c r="C83" s="6" t="str">
        <x:v>0402</x:v>
      </x:c>
      <x:c r="D83" s="6" t="str">
        <x:v>GRM1555C1E103JE01D</x:v>
      </x:c>
      <x:c r="E83" s="6" t="str">
        <x:v>muRata(村田)</x:v>
      </x:c>
      <x:c r="F83" s="6" t="str">
        <x:v>C3855387</x:v>
      </x:c>
      <x:c r="G83" s="6" t="n">
        <x:v>1</x:v>
      </x:c>
      <x:c r="H83" s="6" t="str">
        <x:v>Proposed new MPN; verify stock/package</x:v>
      </x:c>
    </x:row>
    <x:row r="84" ht="26.399999618530273" hidden="0" customHeight="1">
      <x:c r="A84" s="6" t="str">
        <x:v>10nF 5% 25 V or greater</x:v>
      </x:c>
      <x:c r="B84" s="6" t="str">
        <x:v>C94</x:v>
      </x:c>
      <x:c r="C84" s="6" t="str">
        <x:v>0402</x:v>
      </x:c>
      <x:c r="D84" s="6" t="str">
        <x:v>GRM1555C1E103JE01D</x:v>
      </x:c>
      <x:c r="E84" s="6" t="str">
        <x:v>muRata(村田)</x:v>
      </x:c>
      <x:c r="F84" s="6" t="str">
        <x:v>C3855387</x:v>
      </x:c>
      <x:c r="G84" s="6" t="n">
        <x:v>1</x:v>
      </x:c>
      <x:c r="H84" s="6" t="str">
        <x:v>Proposed new MPN; verify stock/package</x:v>
      </x:c>
    </x:row>
    <x:row r="85" ht="26.399999618530273" hidden="0" customHeight="1">
      <x:c r="A85" s="6" t="str">
        <x:v>10nF 5% 25 V or greater</x:v>
      </x:c>
      <x:c r="B85" s="6" t="str">
        <x:v>C95</x:v>
      </x:c>
      <x:c r="C85" s="6" t="str">
        <x:v>0402</x:v>
      </x:c>
      <x:c r="D85" s="6" t="str">
        <x:v>GRM1555C1E103JE01D</x:v>
      </x:c>
      <x:c r="E85" s="6" t="str">
        <x:v>muRata(村田)</x:v>
      </x:c>
      <x:c r="F85" s="6" t="str">
        <x:v>C3855387</x:v>
      </x:c>
      <x:c r="G85" s="6" t="n">
        <x:v>1</x:v>
      </x:c>
      <x:c r="H85" s="6" t="str">
        <x:v>Proposed new MPN; verify stock/package</x:v>
      </x:c>
    </x:row>
    <x:row r="86" ht="26.399999618530273" hidden="0" customHeight="1">
      <x:c r="A86" s="6" t="str">
        <x:v>10nF 5% 25 V or greater</x:v>
      </x:c>
      <x:c r="B86" s="6" t="str">
        <x:v>C96</x:v>
      </x:c>
      <x:c r="C86" s="6" t="str">
        <x:v>0402</x:v>
      </x:c>
      <x:c r="D86" s="6" t="str">
        <x:v>GRM1555C1E103JE01D</x:v>
      </x:c>
      <x:c r="E86" s="6" t="str">
        <x:v>muRata(村田)</x:v>
      </x:c>
      <x:c r="F86" s="6" t="str">
        <x:v>C3855387</x:v>
      </x:c>
      <x:c r="G86" s="6" t="n">
        <x:v>1</x:v>
      </x:c>
      <x:c r="H86" s="6" t="str">
        <x:v>Proposed new MPN; verify stock/package</x:v>
      </x:c>
    </x:row>
    <x:row r="87" ht="26.399999618530273" hidden="0" customHeight="1">
      <x:c r="A87" s="6" t="str">
        <x:v>10nF 5% 25 V or greater</x:v>
      </x:c>
      <x:c r="B87" s="6" t="str">
        <x:v>C97</x:v>
      </x:c>
      <x:c r="C87" s="6" t="str">
        <x:v>0402</x:v>
      </x:c>
      <x:c r="D87" s="6" t="str">
        <x:v>GRM1555C1E103JE01D</x:v>
      </x:c>
      <x:c r="E87" s="6" t="str">
        <x:v>muRata(村田)</x:v>
      </x:c>
      <x:c r="F87" s="6" t="str">
        <x:v>C3855387</x:v>
      </x:c>
      <x:c r="G87" s="6" t="n">
        <x:v>1</x:v>
      </x:c>
      <x:c r="H87" s="6" t="str">
        <x:v>Proposed new MPN; verify stock/package</x:v>
      </x:c>
    </x:row>
    <x:row r="88" ht="26.399999618530273" hidden="0" customHeight="1">
      <x:c r="A88" s="6" t="str">
        <x:v>10nF 5% 25 V or greater</x:v>
      </x:c>
      <x:c r="B88" s="6" t="str">
        <x:v>C98</x:v>
      </x:c>
      <x:c r="C88" s="6" t="str">
        <x:v>0402</x:v>
      </x:c>
      <x:c r="D88" s="6" t="str">
        <x:v>GRM1555C1E103JE01D</x:v>
      </x:c>
      <x:c r="E88" s="6" t="str">
        <x:v>muRata(村田)</x:v>
      </x:c>
      <x:c r="F88" s="6" t="str">
        <x:v>C3855387</x:v>
      </x:c>
      <x:c r="G88" s="6" t="n">
        <x:v>1</x:v>
      </x:c>
      <x:c r="H88" s="6" t="str">
        <x:v>Proposed new MPN; verify stock/package</x:v>
      </x:c>
    </x:row>
    <x:row r="89" ht="26.399999618530273" hidden="0" customHeight="1">
      <x:c r="A89" s="6" t="str">
        <x:v>10nF 5% 25 V or greater</x:v>
      </x:c>
      <x:c r="B89" s="6" t="str">
        <x:v>C99</x:v>
      </x:c>
      <x:c r="C89" s="6" t="str">
        <x:v>0402</x:v>
      </x:c>
      <x:c r="D89" s="6" t="str">
        <x:v>GRM1555C1E103JE01D</x:v>
      </x:c>
      <x:c r="E89" s="6" t="str">
        <x:v>muRata(村田)</x:v>
      </x:c>
      <x:c r="F89" s="6" t="str">
        <x:v>C3855387</x:v>
      </x:c>
      <x:c r="G89" s="6" t="n">
        <x:v>1</x:v>
      </x:c>
      <x:c r="H89" s="6" t="str">
        <x:v>Proposed new MPN; verify stock/package</x:v>
      </x:c>
    </x:row>
    <x:row r="90" ht="26.399999618530273" hidden="0" customHeight="1">
      <x:c r="A90" s="6" t="str">
        <x:v>100nF 10 V or greater</x:v>
      </x:c>
      <x:c r="B90" s="6" t="str">
        <x:v>C100</x:v>
      </x:c>
      <x:c r="C90" s="6" t="str">
        <x:v>0402</x:v>
      </x:c>
      <x:c r="D90" s="6" t="str">
        <x:v>CL05B104KO5NNNC</x:v>
      </x:c>
      <x:c r="E90" s="6" t="str">
        <x:v>SAMSUNG(三星)</x:v>
      </x:c>
      <x:c r="F90" s="6" t="str">
        <x:v>C1525</x:v>
      </x:c>
      <x:c r="G90" s="6" t="n">
        <x:v>1</x:v>
      </x:c>
      <x:c r="H90" s="6" t="str">
        <x:v>Proposed new MPN; verify stock/package</x:v>
      </x:c>
    </x:row>
    <x:row r="91" ht="26.399999618530273" hidden="0" customHeight="1">
      <x:c r="A91" s="6" t="str">
        <x:v>100nF 10 V or greater</x:v>
      </x:c>
      <x:c r="B91" s="6" t="str">
        <x:v>C101</x:v>
      </x:c>
      <x:c r="C91" s="6" t="str">
        <x:v>0402</x:v>
      </x:c>
      <x:c r="D91" s="6" t="str">
        <x:v>CL05B104KO5NNNC</x:v>
      </x:c>
      <x:c r="E91" s="6" t="str">
        <x:v>SAMSUNG(三星)</x:v>
      </x:c>
      <x:c r="F91" s="6" t="str">
        <x:v>C1525</x:v>
      </x:c>
      <x:c r="G91" s="6" t="n">
        <x:v>1</x:v>
      </x:c>
      <x:c r="H91" s="6" t="str">
        <x:v>Proposed new MPN; verify stock/package</x:v>
      </x:c>
    </x:row>
    <x:row r="92" ht="26.399999618530273" hidden="0" customHeight="1">
      <x:c r="A92" s="6" t="str">
        <x:v>100nF 10 V or greater</x:v>
      </x:c>
      <x:c r="B92" s="6" t="str">
        <x:v>C102</x:v>
      </x:c>
      <x:c r="C92" s="6" t="str">
        <x:v>0402</x:v>
      </x:c>
      <x:c r="D92" s="6" t="str">
        <x:v>CL05B104KO5NNNC</x:v>
      </x:c>
      <x:c r="E92" s="6" t="str">
        <x:v>SAMSUNG(三星)</x:v>
      </x:c>
      <x:c r="F92" s="6" t="str">
        <x:v>C1525</x:v>
      </x:c>
      <x:c r="G92" s="6" t="n">
        <x:v>1</x:v>
      </x:c>
      <x:c r="H92" s="6" t="str">
        <x:v>Proposed new MPN; verify stock/package</x:v>
      </x:c>
    </x:row>
    <x:row r="93" ht="26.399999618530273" hidden="0" customHeight="1">
      <x:c r="A93" s="6" t="str">
        <x:v>1uF 10 V or greater</x:v>
      </x:c>
      <x:c r="B93" s="6" t="str">
        <x:v>C103</x:v>
      </x:c>
      <x:c r="C93" s="6" t="str">
        <x:v>0603</x:v>
      </x:c>
      <x:c r="D93" s="6" t="str">
        <x:v>CL10A105KB8NNNC</x:v>
      </x:c>
      <x:c r="E93" s="6" t="str">
        <x:v>SAMSUNG(三星)</x:v>
      </x:c>
      <x:c r="F93" s="6" t="str">
        <x:v>C15849</x:v>
      </x:c>
      <x:c r="G93" s="6" t="n">
        <x:v>1</x:v>
      </x:c>
      <x:c r="H93" s="6" t="str">
        <x:v>Proposed new MPN; verify stock/package</x:v>
      </x:c>
    </x:row>
    <x:row r="94" ht="26.399999618530273" hidden="0" customHeight="1">
      <x:c r="A94" s="6" t="str">
        <x:v>4.7uF 10 V</x:v>
      </x:c>
      <x:c r="B94" s="6" t="str">
        <x:v>C104</x:v>
      </x:c>
      <x:c r="C94" s="6" t="str">
        <x:v>0805</x:v>
      </x:c>
      <x:c r="D94" s="6" t="str">
        <x:v>CL21A475KAQNNNE</x:v>
      </x:c>
      <x:c r="E94" s="6" t="str">
        <x:v>SAMSUNG(三星)</x:v>
      </x:c>
      <x:c r="F94" s="6" t="str">
        <x:v>C1779</x:v>
      </x:c>
      <x:c r="G94" s="6" t="n">
        <x:v>1</x:v>
      </x:c>
      <x:c r="H94" s="6" t="str">
        <x:v>Proposed new MPN; verify stock/package</x:v>
      </x:c>
    </x:row>
    <x:row r="95" ht="26.399999618530273" hidden="0" customHeight="1">
      <x:c r="A95" s="6" t="str">
        <x:v>1uF 10 V or greater</x:v>
      </x:c>
      <x:c r="B95" s="6" t="str">
        <x:v>C105</x:v>
      </x:c>
      <x:c r="C95" s="6" t="str">
        <x:v>0603</x:v>
      </x:c>
      <x:c r="D95" s="6" t="str">
        <x:v>CL10A105KB8NNNC</x:v>
      </x:c>
      <x:c r="E95" s="6" t="str">
        <x:v>SAMSUNG(三星)</x:v>
      </x:c>
      <x:c r="F95" s="6" t="str">
        <x:v>C15849</x:v>
      </x:c>
      <x:c r="G95" s="6" t="n">
        <x:v>1</x:v>
      </x:c>
      <x:c r="H95" s="6" t="str">
        <x:v>Proposed new MPN; verify stock/package</x:v>
      </x:c>
    </x:row>
    <x:row r="96" ht="26.399999618530273" hidden="0" customHeight="1">
      <x:c r="A96" s="6" t="str">
        <x:v>10nF 5% 25 V or greater</x:v>
      </x:c>
      <x:c r="B96" s="6" t="str">
        <x:v>C106</x:v>
      </x:c>
      <x:c r="C96" s="6" t="str">
        <x:v>0402</x:v>
      </x:c>
      <x:c r="D96" s="6" t="str">
        <x:v>GRM1555C1E103JE01D</x:v>
      </x:c>
      <x:c r="E96" s="6" t="str">
        <x:v>muRata(村田)</x:v>
      </x:c>
      <x:c r="F96" s="6" t="str">
        <x:v>C3855387</x:v>
      </x:c>
      <x:c r="G96" s="6" t="n">
        <x:v>1</x:v>
      </x:c>
      <x:c r="H96" s="6" t="str">
        <x:v>Proposed new MPN; verify stock/package</x:v>
      </x:c>
    </x:row>
    <x:row r="97" ht="26.399999618530273" hidden="0" customHeight="1">
      <x:c r="A97" s="6" t="str">
        <x:v>10nF 5% 25 V or greater</x:v>
      </x:c>
      <x:c r="B97" s="6" t="str">
        <x:v>C107</x:v>
      </x:c>
      <x:c r="C97" s="6" t="str">
        <x:v>0402</x:v>
      </x:c>
      <x:c r="D97" s="6" t="str">
        <x:v>GRM1555C1E103JE01D</x:v>
      </x:c>
      <x:c r="E97" s="6" t="str">
        <x:v>muRata(村田)</x:v>
      </x:c>
      <x:c r="F97" s="6" t="str">
        <x:v>C3855387</x:v>
      </x:c>
      <x:c r="G97" s="6" t="n">
        <x:v>1</x:v>
      </x:c>
      <x:c r="H97" s="6" t="str">
        <x:v>Proposed new MPN; verify stock/package</x:v>
      </x:c>
    </x:row>
    <x:row r="98" ht="26.399999618530273" hidden="0" customHeight="1">
      <x:c r="A98" s="6" t="str">
        <x:v>10nF 5% 25 V or greater</x:v>
      </x:c>
      <x:c r="B98" s="6" t="str">
        <x:v>C108</x:v>
      </x:c>
      <x:c r="C98" s="6" t="str">
        <x:v>0402</x:v>
      </x:c>
      <x:c r="D98" s="6" t="str">
        <x:v>GRM1555C1E103JE01D</x:v>
      </x:c>
      <x:c r="E98" s="6" t="str">
        <x:v>muRata(村田)</x:v>
      </x:c>
      <x:c r="F98" s="6" t="str">
        <x:v>C3855387</x:v>
      </x:c>
      <x:c r="G98" s="6" t="n">
        <x:v>1</x:v>
      </x:c>
      <x:c r="H98" s="6" t="str">
        <x:v>Proposed new MPN; verify stock/package</x:v>
      </x:c>
    </x:row>
    <x:row r="99" ht="26.399999618530273" hidden="0" customHeight="1">
      <x:c r="A99" s="6" t="str">
        <x:v>10nF 5% 25 V or greater</x:v>
      </x:c>
      <x:c r="B99" s="6" t="str">
        <x:v>C109</x:v>
      </x:c>
      <x:c r="C99" s="6" t="str">
        <x:v>0402</x:v>
      </x:c>
      <x:c r="D99" s="6" t="str">
        <x:v>GRM1555C1E103JE01D</x:v>
      </x:c>
      <x:c r="E99" s="6" t="str">
        <x:v>muRata(村田)</x:v>
      </x:c>
      <x:c r="F99" s="6" t="str">
        <x:v>C3855387</x:v>
      </x:c>
      <x:c r="G99" s="6" t="n">
        <x:v>1</x:v>
      </x:c>
      <x:c r="H99" s="6" t="str">
        <x:v>Proposed new MPN; verify stock/package</x:v>
      </x:c>
    </x:row>
    <x:row r="100" ht="26.399999618530273" hidden="0" customHeight="1">
      <x:c r="A100" s="6" t="str">
        <x:v>10nF 5% 25 V or greater</x:v>
      </x:c>
      <x:c r="B100" s="6" t="str">
        <x:v>C110</x:v>
      </x:c>
      <x:c r="C100" s="6" t="str">
        <x:v>0402</x:v>
      </x:c>
      <x:c r="D100" s="6" t="str">
        <x:v>GRM1555C1E103JE01D</x:v>
      </x:c>
      <x:c r="E100" s="6" t="str">
        <x:v>muRata(村田)</x:v>
      </x:c>
      <x:c r="F100" s="6" t="str">
        <x:v>C3855387</x:v>
      </x:c>
      <x:c r="G100" s="6" t="n">
        <x:v>1</x:v>
      </x:c>
      <x:c r="H100" s="6" t="str">
        <x:v>Proposed new MPN; verify stock/package</x:v>
      </x:c>
    </x:row>
    <x:row r="101" ht="26.399999618530273" hidden="0" customHeight="1">
      <x:c r="A101" s="6" t="str">
        <x:v>10nF 5% 25 V or greater</x:v>
      </x:c>
      <x:c r="B101" s="6" t="str">
        <x:v>C111</x:v>
      </x:c>
      <x:c r="C101" s="6" t="str">
        <x:v>0402</x:v>
      </x:c>
      <x:c r="D101" s="6" t="str">
        <x:v>GRM1555C1E103JE01D</x:v>
      </x:c>
      <x:c r="E101" s="6" t="str">
        <x:v>muRata(村田)</x:v>
      </x:c>
      <x:c r="F101" s="6" t="str">
        <x:v>C3855387</x:v>
      </x:c>
      <x:c r="G101" s="6" t="n">
        <x:v>1</x:v>
      </x:c>
      <x:c r="H101" s="6" t="str">
        <x:v>Proposed new MPN; verify stock/package</x:v>
      </x:c>
    </x:row>
    <x:row r="102" ht="26.399999618530273" hidden="0" customHeight="1">
      <x:c r="A102" s="6" t="str">
        <x:v>10nF 5% 25 V or greater</x:v>
      </x:c>
      <x:c r="B102" s="6" t="str">
        <x:v>C112</x:v>
      </x:c>
      <x:c r="C102" s="6" t="str">
        <x:v>0402</x:v>
      </x:c>
      <x:c r="D102" s="6" t="str">
        <x:v>GRM1555C1E103JE01D</x:v>
      </x:c>
      <x:c r="E102" s="6" t="str">
        <x:v>muRata(村田)</x:v>
      </x:c>
      <x:c r="F102" s="6" t="str">
        <x:v>C3855387</x:v>
      </x:c>
      <x:c r="G102" s="6" t="n">
        <x:v>1</x:v>
      </x:c>
      <x:c r="H102" s="6" t="str">
        <x:v>Proposed new MPN; verify stock/package</x:v>
      </x:c>
    </x:row>
    <x:row r="103" ht="26.399999618530273" hidden="0" customHeight="1">
      <x:c r="A103" s="6" t="str">
        <x:v>100nF 10 V or greater</x:v>
      </x:c>
      <x:c r="B103" s="6" t="str">
        <x:v>C113</x:v>
      </x:c>
      <x:c r="C103" s="6" t="str">
        <x:v>0402</x:v>
      </x:c>
      <x:c r="D103" s="6" t="str">
        <x:v>CL05B104KO5NNNC</x:v>
      </x:c>
      <x:c r="E103" s="6" t="str">
        <x:v>SAMSUNG(三星)</x:v>
      </x:c>
      <x:c r="F103" s="6" t="str">
        <x:v>C1525</x:v>
      </x:c>
      <x:c r="G103" s="6" t="n">
        <x:v>1</x:v>
      </x:c>
      <x:c r="H103" s="6" t="str">
        <x:v>Proposed new MPN; verify stock/package</x:v>
      </x:c>
    </x:row>
    <x:row r="104" ht="26.399999618530273" hidden="0" customHeight="1">
      <x:c r="A104" s="6" t="str">
        <x:v>100nF 10 V or greater</x:v>
      </x:c>
      <x:c r="B104" s="6" t="str">
        <x:v>C114</x:v>
      </x:c>
      <x:c r="C104" s="6" t="str">
        <x:v>0402</x:v>
      </x:c>
      <x:c r="D104" s="6" t="str">
        <x:v>CL05B104KO5NNNC</x:v>
      </x:c>
      <x:c r="E104" s="6" t="str">
        <x:v>SAMSUNG(三星)</x:v>
      </x:c>
      <x:c r="F104" s="6" t="str">
        <x:v>C1525</x:v>
      </x:c>
      <x:c r="G104" s="6" t="n">
        <x:v>1</x:v>
      </x:c>
      <x:c r="H104" s="6" t="str">
        <x:v>Proposed new MPN; verify stock/package</x:v>
      </x:c>
    </x:row>
    <x:row r="105" ht="26.399999618530273" hidden="0" customHeight="1">
      <x:c r="A105" s="6" t="str">
        <x:v>100nF 10 V or greater</x:v>
      </x:c>
      <x:c r="B105" s="6" t="str">
        <x:v>C115</x:v>
      </x:c>
      <x:c r="C105" s="6" t="str">
        <x:v>0402</x:v>
      </x:c>
      <x:c r="D105" s="6" t="str">
        <x:v>CL05B104KO5NNNC</x:v>
      </x:c>
      <x:c r="E105" s="6" t="str">
        <x:v>SAMSUNG(三星)</x:v>
      </x:c>
      <x:c r="F105" s="6" t="str">
        <x:v>C1525</x:v>
      </x:c>
      <x:c r="G105" s="6" t="n">
        <x:v>1</x:v>
      </x:c>
      <x:c r="H105" s="6" t="str">
        <x:v>Proposed new MPN; verify stock/package</x:v>
      </x:c>
    </x:row>
    <x:row r="106" ht="26.399999618530273" hidden="0" customHeight="1">
      <x:c r="A106" s="6" t="str">
        <x:v>100nF 10 V or greater</x:v>
      </x:c>
      <x:c r="B106" s="6" t="str">
        <x:v>C116</x:v>
      </x:c>
      <x:c r="C106" s="6" t="str">
        <x:v>0402</x:v>
      </x:c>
      <x:c r="D106" s="6" t="str">
        <x:v>CL05B104KO5NNNC</x:v>
      </x:c>
      <x:c r="E106" s="6" t="str">
        <x:v>SAMSUNG(三星)</x:v>
      </x:c>
      <x:c r="F106" s="6" t="str">
        <x:v>C1525</x:v>
      </x:c>
      <x:c r="G106" s="6" t="n">
        <x:v>1</x:v>
      </x:c>
      <x:c r="H106" s="6" t="str">
        <x:v>Proposed new MPN; verify stock/package</x:v>
      </x:c>
    </x:row>
    <x:row r="107" ht="26.399999618530273" hidden="0" customHeight="1">
      <x:c r="A107" s="6" t="str">
        <x:v>100nF 10 V or greater</x:v>
      </x:c>
      <x:c r="B107" s="6" t="str">
        <x:v>C117</x:v>
      </x:c>
      <x:c r="C107" s="6" t="str">
        <x:v>0402</x:v>
      </x:c>
      <x:c r="D107" s="6" t="str">
        <x:v>CL05B104KO5NNNC</x:v>
      </x:c>
      <x:c r="E107" s="6" t="str">
        <x:v>SAMSUNG(三星)</x:v>
      </x:c>
      <x:c r="F107" s="6" t="str">
        <x:v>C1525</x:v>
      </x:c>
      <x:c r="G107" s="6" t="n">
        <x:v>1</x:v>
      </x:c>
      <x:c r="H107" s="6" t="str">
        <x:v>Proposed new MPN; verify stock/package</x:v>
      </x:c>
    </x:row>
    <x:row r="108" ht="26.399999618530273" hidden="0" customHeight="1">
      <x:c r="A108" s="6" t="str">
        <x:v>100nF 10 V or greater</x:v>
      </x:c>
      <x:c r="B108" s="6" t="str">
        <x:v>C118</x:v>
      </x:c>
      <x:c r="C108" s="6" t="str">
        <x:v>0402</x:v>
      </x:c>
      <x:c r="D108" s="6" t="str">
        <x:v>CL05B104KO5NNNC</x:v>
      </x:c>
      <x:c r="E108" s="6" t="str">
        <x:v>SAMSUNG(三星)</x:v>
      </x:c>
      <x:c r="F108" s="6" t="str">
        <x:v>C1525</x:v>
      </x:c>
      <x:c r="G108" s="6" t="n">
        <x:v>1</x:v>
      </x:c>
      <x:c r="H108" s="6" t="str">
        <x:v>Proposed new MPN; verify stock/package</x:v>
      </x:c>
    </x:row>
    <x:row r="109" ht="26.399999618530273" hidden="0" customHeight="1">
      <x:c r="A109" s="6" t="str">
        <x:v>100nF 10 V or greater</x:v>
      </x:c>
      <x:c r="B109" s="6" t="str">
        <x:v>C119</x:v>
      </x:c>
      <x:c r="C109" s="6" t="str">
        <x:v>0402</x:v>
      </x:c>
      <x:c r="D109" s="6" t="str">
        <x:v>CL05B104KO5NNNC</x:v>
      </x:c>
      <x:c r="E109" s="6" t="str">
        <x:v>SAMSUNG(三星)</x:v>
      </x:c>
      <x:c r="F109" s="6" t="str">
        <x:v>C1525</x:v>
      </x:c>
      <x:c r="G109" s="6" t="n">
        <x:v>1</x:v>
      </x:c>
      <x:c r="H109" s="6" t="str">
        <x:v>Proposed new MPN; verify stock/package</x:v>
      </x:c>
    </x:row>
    <x:row r="110" ht="26.399999618530273" hidden="0" customHeight="1">
      <x:c r="A110" s="6" t="str">
        <x:v>100nF 10 V or greater</x:v>
      </x:c>
      <x:c r="B110" s="6" t="str">
        <x:v>C120</x:v>
      </x:c>
      <x:c r="C110" s="6" t="str">
        <x:v>0402</x:v>
      </x:c>
      <x:c r="D110" s="6" t="str">
        <x:v>CL05B104KO5NNNC</x:v>
      </x:c>
      <x:c r="E110" s="6" t="str">
        <x:v>SAMSUNG(三星)</x:v>
      </x:c>
      <x:c r="F110" s="6" t="str">
        <x:v>C1525</x:v>
      </x:c>
      <x:c r="G110" s="6" t="n">
        <x:v>1</x:v>
      </x:c>
      <x:c r="H110" s="6" t="str">
        <x:v>Proposed new MPN; verify stock/package</x:v>
      </x:c>
    </x:row>
    <x:row r="111" ht="26.399999618530273" hidden="0" customHeight="1">
      <x:c r="A111" s="6" t="str">
        <x:v>100nF 10 V or greater</x:v>
      </x:c>
      <x:c r="B111" s="6" t="str">
        <x:v>C121</x:v>
      </x:c>
      <x:c r="C111" s="6" t="str">
        <x:v>0402</x:v>
      </x:c>
      <x:c r="D111" s="6" t="str">
        <x:v>CL05B104KO5NNNC</x:v>
      </x:c>
      <x:c r="E111" s="6" t="str">
        <x:v>SAMSUNG(三星)</x:v>
      </x:c>
      <x:c r="F111" s="6" t="str">
        <x:v>C1525</x:v>
      </x:c>
      <x:c r="G111" s="6" t="n">
        <x:v>1</x:v>
      </x:c>
      <x:c r="H111" s="6" t="str">
        <x:v>Proposed new MPN; verify stock/package</x:v>
      </x:c>
    </x:row>
    <x:row r="112" ht="26.399999618530273" hidden="0" customHeight="1">
      <x:c r="A112" s="6" t="str">
        <x:v>10nF 5% 25 V or greater</x:v>
      </x:c>
      <x:c r="B112" s="6" t="str">
        <x:v>C122</x:v>
      </x:c>
      <x:c r="C112" s="6" t="str">
        <x:v>0402</x:v>
      </x:c>
      <x:c r="D112" s="6" t="str">
        <x:v>GRM1555C1E103JE01D</x:v>
      </x:c>
      <x:c r="E112" s="6" t="str">
        <x:v>muRata(村田)</x:v>
      </x:c>
      <x:c r="F112" s="6" t="str">
        <x:v>C3855387</x:v>
      </x:c>
      <x:c r="G112" s="6" t="n">
        <x:v>1</x:v>
      </x:c>
      <x:c r="H112" s="6" t="str">
        <x:v>Proposed new MPN; verify stock/package</x:v>
      </x:c>
    </x:row>
    <x:row r="113" ht="26.399999618530273" hidden="0" customHeight="1">
      <x:c r="A113" s="6" t="str">
        <x:v>100nF 10 V or greater</x:v>
      </x:c>
      <x:c r="B113" s="6" t="str">
        <x:v>C123</x:v>
      </x:c>
      <x:c r="C113" s="6" t="str">
        <x:v>0402</x:v>
      </x:c>
      <x:c r="D113" s="6" t="str">
        <x:v>CL05B104KO5NNNC</x:v>
      </x:c>
      <x:c r="E113" s="6" t="str">
        <x:v>SAMSUNG(三星)</x:v>
      </x:c>
      <x:c r="F113" s="6" t="str">
        <x:v>C1525</x:v>
      </x:c>
      <x:c r="G113" s="6" t="n">
        <x:v>1</x:v>
      </x:c>
      <x:c r="H113" s="6" t="str">
        <x:v>Proposed new MPN; verify stock/package</x:v>
      </x:c>
    </x:row>
    <x:row r="114" ht="26.399999618530273" hidden="0" customHeight="1">
      <x:c r="A114" s="6" t="str">
        <x:v>100nF 10 V or greater</x:v>
      </x:c>
      <x:c r="B114" s="6" t="str">
        <x:v>C124</x:v>
      </x:c>
      <x:c r="C114" s="6" t="str">
        <x:v>0402</x:v>
      </x:c>
      <x:c r="D114" s="6" t="str">
        <x:v>CL05B104KO5NNNC</x:v>
      </x:c>
      <x:c r="E114" s="6" t="str">
        <x:v>SAMSUNG(三星)</x:v>
      </x:c>
      <x:c r="F114" s="6" t="str">
        <x:v>C1525</x:v>
      </x:c>
      <x:c r="G114" s="6" t="n">
        <x:v>1</x:v>
      </x:c>
      <x:c r="H114" s="6" t="str">
        <x:v>Proposed new MPN; verify stock/package</x:v>
      </x:c>
    </x:row>
    <x:row r="115" ht="26.399999618530273" hidden="0" customHeight="1">
      <x:c r="A115" s="6" t="str">
        <x:v>10nF 5% 25 V or greater</x:v>
      </x:c>
      <x:c r="B115" s="6" t="str">
        <x:v>C125</x:v>
      </x:c>
      <x:c r="C115" s="6" t="str">
        <x:v>0402</x:v>
      </x:c>
      <x:c r="D115" s="6" t="str">
        <x:v>GRM1555C1E103JE01D</x:v>
      </x:c>
      <x:c r="E115" s="6" t="str">
        <x:v>muRata(村田)</x:v>
      </x:c>
      <x:c r="F115" s="6" t="str">
        <x:v>C3855387</x:v>
      </x:c>
      <x:c r="G115" s="6" t="n">
        <x:v>1</x:v>
      </x:c>
      <x:c r="H115" s="6" t="str">
        <x:v>Proposed new MPN; verify stock/package</x:v>
      </x:c>
    </x:row>
    <x:row r="116" ht="26.399999618530273" hidden="0" customHeight="1">
      <x:c r="A116" s="6" t="str">
        <x:v>100nF 10 V or greater</x:v>
      </x:c>
      <x:c r="B116" s="6" t="str">
        <x:v>C126</x:v>
      </x:c>
      <x:c r="C116" s="6" t="str">
        <x:v>0402</x:v>
      </x:c>
      <x:c r="D116" s="6" t="str">
        <x:v>CL05B104KO5NNNC</x:v>
      </x:c>
      <x:c r="E116" s="6" t="str">
        <x:v>SAMSUNG(三星)</x:v>
      </x:c>
      <x:c r="F116" s="6" t="str">
        <x:v>C1525</x:v>
      </x:c>
      <x:c r="G116" s="6" t="n">
        <x:v>1</x:v>
      </x:c>
      <x:c r="H116" s="6" t="str">
        <x:v>Proposed new MPN; verify stock/package</x:v>
      </x:c>
    </x:row>
    <x:row r="117" ht="26.399999618530273" hidden="0" customHeight="1">
      <x:c r="A117" s="6" t="str">
        <x:v>100nF 10 V or greater</x:v>
      </x:c>
      <x:c r="B117" s="6" t="str">
        <x:v>C127</x:v>
      </x:c>
      <x:c r="C117" s="6" t="str">
        <x:v>0402</x:v>
      </x:c>
      <x:c r="D117" s="6" t="str">
        <x:v>CL05B104KO5NNNC</x:v>
      </x:c>
      <x:c r="E117" s="6" t="str">
        <x:v>SAMSUNG(三星)</x:v>
      </x:c>
      <x:c r="F117" s="6" t="str">
        <x:v>C1525</x:v>
      </x:c>
      <x:c r="G117" s="6" t="n">
        <x:v>1</x:v>
      </x:c>
      <x:c r="H117" s="6" t="str">
        <x:v>Proposed new MPN; verify stock/package</x:v>
      </x:c>
    </x:row>
    <x:row r="118" ht="26.399999618530273" hidden="0" customHeight="1">
      <x:c r="A118" s="6" t="str">
        <x:v>10nF 5% 25 V or greater</x:v>
      </x:c>
      <x:c r="B118" s="6" t="str">
        <x:v>C128</x:v>
      </x:c>
      <x:c r="C118" s="6" t="str">
        <x:v>0402</x:v>
      </x:c>
      <x:c r="D118" s="6" t="str">
        <x:v>GRM1555C1E103JE01D</x:v>
      </x:c>
      <x:c r="E118" s="6" t="str">
        <x:v>muRata(村田)</x:v>
      </x:c>
      <x:c r="F118" s="6" t="str">
        <x:v>C3855387</x:v>
      </x:c>
      <x:c r="G118" s="6" t="n">
        <x:v>1</x:v>
      </x:c>
      <x:c r="H118" s="6" t="str">
        <x:v>Proposed new MPN; verify stock/package</x:v>
      </x:c>
    </x:row>
    <x:row r="119" ht="26.399999618530273" hidden="0" customHeight="1">
      <x:c r="A119" s="6" t="str">
        <x:v>100nF 10 V or greater</x:v>
      </x:c>
      <x:c r="B119" s="6" t="str">
        <x:v>C129</x:v>
      </x:c>
      <x:c r="C119" s="6" t="str">
        <x:v>0402</x:v>
      </x:c>
      <x:c r="D119" s="6" t="str">
        <x:v>CL05B104KO5NNNC</x:v>
      </x:c>
      <x:c r="E119" s="6" t="str">
        <x:v>SAMSUNG(三星)</x:v>
      </x:c>
      <x:c r="F119" s="6" t="str">
        <x:v>C1525</x:v>
      </x:c>
      <x:c r="G119" s="6" t="n">
        <x:v>1</x:v>
      </x:c>
      <x:c r="H119" s="6" t="str">
        <x:v>Proposed new MPN; verify stock/package</x:v>
      </x:c>
    </x:row>
    <x:row r="120" ht="26.399999618530273" hidden="0" customHeight="1">
      <x:c r="A120" s="6" t="str">
        <x:v>100nF 10 V or greater</x:v>
      </x:c>
      <x:c r="B120" s="6" t="str">
        <x:v>C130</x:v>
      </x:c>
      <x:c r="C120" s="6" t="str">
        <x:v>0402</x:v>
      </x:c>
      <x:c r="D120" s="6" t="str">
        <x:v>CL05B104KO5NNNC</x:v>
      </x:c>
      <x:c r="E120" s="6" t="str">
        <x:v>SAMSUNG(三星)</x:v>
      </x:c>
      <x:c r="F120" s="6" t="str">
        <x:v>C1525</x:v>
      </x:c>
      <x:c r="G120" s="6" t="n">
        <x:v>1</x:v>
      </x:c>
      <x:c r="H120" s="6" t="str">
        <x:v>Proposed new MPN; verify stock/package</x:v>
      </x:c>
    </x:row>
    <x:row r="121" ht="26.399999618530273" hidden="0" customHeight="1">
      <x:c r="A121" s="6" t="str">
        <x:v>10nF 5% 25 V or greater</x:v>
      </x:c>
      <x:c r="B121" s="6" t="str">
        <x:v>C131</x:v>
      </x:c>
      <x:c r="C121" s="6" t="str">
        <x:v>0402</x:v>
      </x:c>
      <x:c r="D121" s="6" t="str">
        <x:v>GRM1555C1E103JE01D</x:v>
      </x:c>
      <x:c r="E121" s="6" t="str">
        <x:v>muRata(村田)</x:v>
      </x:c>
      <x:c r="F121" s="6" t="str">
        <x:v>C3855387</x:v>
      </x:c>
      <x:c r="G121" s="6" t="n">
        <x:v>1</x:v>
      </x:c>
      <x:c r="H121" s="6" t="str">
        <x:v>Proposed new MPN; verify stock/package</x:v>
      </x:c>
    </x:row>
    <x:row r="122" ht="26.399999618530273" hidden="0" customHeight="1">
      <x:c r="A122" s="6" t="str">
        <x:v>100nF 10 V or greater</x:v>
      </x:c>
      <x:c r="B122" s="6" t="str">
        <x:v>C132</x:v>
      </x:c>
      <x:c r="C122" s="6" t="str">
        <x:v>0402</x:v>
      </x:c>
      <x:c r="D122" s="6" t="str">
        <x:v>CL05B104KO5NNNC</x:v>
      </x:c>
      <x:c r="E122" s="6" t="str">
        <x:v>SAMSUNG(三星)</x:v>
      </x:c>
      <x:c r="F122" s="6" t="str">
        <x:v>C1525</x:v>
      </x:c>
      <x:c r="G122" s="6" t="n">
        <x:v>1</x:v>
      </x:c>
      <x:c r="H122" s="6" t="str">
        <x:v>Proposed new MPN; verify stock/package</x:v>
      </x:c>
    </x:row>
    <x:row r="123" ht="26.399999618530273" hidden="0" customHeight="1">
      <x:c r="A123" s="6" t="str">
        <x:v>100nF 10 V or greater</x:v>
      </x:c>
      <x:c r="B123" s="6" t="str">
        <x:v>C133</x:v>
      </x:c>
      <x:c r="C123" s="6" t="str">
        <x:v>0402</x:v>
      </x:c>
      <x:c r="D123" s="6" t="str">
        <x:v>CL05B104KO5NNNC</x:v>
      </x:c>
      <x:c r="E123" s="6" t="str">
        <x:v>SAMSUNG(三星)</x:v>
      </x:c>
      <x:c r="F123" s="6" t="str">
        <x:v>C1525</x:v>
      </x:c>
      <x:c r="G123" s="6" t="n">
        <x:v>1</x:v>
      </x:c>
      <x:c r="H123" s="6" t="str">
        <x:v>Proposed new MPN; verify stock/package</x:v>
      </x:c>
    </x:row>
    <x:row r="124" ht="26.399999618530273" hidden="0" customHeight="1">
      <x:c r="A124" s="6" t="str">
        <x:v>10nF 5% 25 V or greater</x:v>
      </x:c>
      <x:c r="B124" s="6" t="str">
        <x:v>C134</x:v>
      </x:c>
      <x:c r="C124" s="6" t="str">
        <x:v>0402</x:v>
      </x:c>
      <x:c r="D124" s="6" t="str">
        <x:v>GRM1555C1E103JE01D</x:v>
      </x:c>
      <x:c r="E124" s="6" t="str">
        <x:v>muRata(村田)</x:v>
      </x:c>
      <x:c r="F124" s="6" t="str">
        <x:v>C3855387</x:v>
      </x:c>
      <x:c r="G124" s="6" t="n">
        <x:v>1</x:v>
      </x:c>
      <x:c r="H124" s="6" t="str">
        <x:v>Proposed new MPN; verify stock/package</x:v>
      </x:c>
    </x:row>
    <x:row r="125" ht="26.399999618530273" hidden="0" customHeight="1">
      <x:c r="A125" s="6" t="str">
        <x:v>100nF 10 V or greater</x:v>
      </x:c>
      <x:c r="B125" s="6" t="str">
        <x:v>C135</x:v>
      </x:c>
      <x:c r="C125" s="6" t="str">
        <x:v>0402</x:v>
      </x:c>
      <x:c r="D125" s="6" t="str">
        <x:v>CL05B104KO5NNNC</x:v>
      </x:c>
      <x:c r="E125" s="6" t="str">
        <x:v>SAMSUNG(三星)</x:v>
      </x:c>
      <x:c r="F125" s="6" t="str">
        <x:v>C1525</x:v>
      </x:c>
      <x:c r="G125" s="6" t="n">
        <x:v>1</x:v>
      </x:c>
      <x:c r="H125" s="6" t="str">
        <x:v>Proposed new MPN; verify stock/package</x:v>
      </x:c>
    </x:row>
    <x:row r="126" ht="26.399999618530273" hidden="0" customHeight="1">
      <x:c r="A126" s="6" t="str">
        <x:v>100nF 10 V or greater</x:v>
      </x:c>
      <x:c r="B126" s="6" t="str">
        <x:v>C136</x:v>
      </x:c>
      <x:c r="C126" s="6" t="str">
        <x:v>0402</x:v>
      </x:c>
      <x:c r="D126" s="6" t="str">
        <x:v>CL05B104KO5NNNC</x:v>
      </x:c>
      <x:c r="E126" s="6" t="str">
        <x:v>SAMSUNG(三星)</x:v>
      </x:c>
      <x:c r="F126" s="6" t="str">
        <x:v>C1525</x:v>
      </x:c>
      <x:c r="G126" s="6" t="n">
        <x:v>1</x:v>
      </x:c>
      <x:c r="H126" s="6" t="str">
        <x:v>Proposed new MPN; verify stock/package</x:v>
      </x:c>
    </x:row>
    <x:row r="127" ht="26.399999618530273" hidden="0" customHeight="1">
      <x:c r="A127" s="6" t="str">
        <x:v>10nF 5% 25 V or greater</x:v>
      </x:c>
      <x:c r="B127" s="6" t="str">
        <x:v>C137</x:v>
      </x:c>
      <x:c r="C127" s="6" t="str">
        <x:v>0402</x:v>
      </x:c>
      <x:c r="D127" s="6" t="str">
        <x:v>GRM1555C1E103JE01D</x:v>
      </x:c>
      <x:c r="E127" s="6" t="str">
        <x:v>muRata(村田)</x:v>
      </x:c>
      <x:c r="F127" s="6" t="str">
        <x:v>C3855387</x:v>
      </x:c>
      <x:c r="G127" s="6" t="n">
        <x:v>1</x:v>
      </x:c>
      <x:c r="H127" s="6" t="str">
        <x:v>Proposed new MPN; verify stock/package</x:v>
      </x:c>
    </x:row>
    <x:row r="128" ht="26.399999618530273" hidden="0" customHeight="1">
      <x:c r="A128" s="6" t="str">
        <x:v>100nF 10 V or greater</x:v>
      </x:c>
      <x:c r="B128" s="6" t="str">
        <x:v>C138</x:v>
      </x:c>
      <x:c r="C128" s="6" t="str">
        <x:v>0402</x:v>
      </x:c>
      <x:c r="D128" s="6" t="str">
        <x:v>CL05B104KO5NNNC</x:v>
      </x:c>
      <x:c r="E128" s="6" t="str">
        <x:v>SAMSUNG(三星)</x:v>
      </x:c>
      <x:c r="F128" s="6" t="str">
        <x:v>C1525</x:v>
      </x:c>
      <x:c r="G128" s="6" t="n">
        <x:v>1</x:v>
      </x:c>
      <x:c r="H128" s="6" t="str">
        <x:v>Proposed new MPN; verify stock/package</x:v>
      </x:c>
    </x:row>
    <x:row r="129" ht="26.399999618530273" hidden="0" customHeight="1">
      <x:c r="A129" s="6" t="str">
        <x:v>100nF 10 V or greater</x:v>
      </x:c>
      <x:c r="B129" s="6" t="str">
        <x:v>C139</x:v>
      </x:c>
      <x:c r="C129" s="6" t="str">
        <x:v>0402</x:v>
      </x:c>
      <x:c r="D129" s="6" t="str">
        <x:v>CL05B104KO5NNNC</x:v>
      </x:c>
      <x:c r="E129" s="6" t="str">
        <x:v>SAMSUNG(三星)</x:v>
      </x:c>
      <x:c r="F129" s="6" t="str">
        <x:v>C1525</x:v>
      </x:c>
      <x:c r="G129" s="6" t="n">
        <x:v>1</x:v>
      </x:c>
      <x:c r="H129" s="6" t="str">
        <x:v>Proposed new MPN; verify stock/package</x:v>
      </x:c>
    </x:row>
    <x:row r="130" ht="26.399999618530273" hidden="0" customHeight="1">
      <x:c r="A130" s="6" t="str">
        <x:v>10nF 5% 25 V or greater</x:v>
      </x:c>
      <x:c r="B130" s="6" t="str">
        <x:v>C140</x:v>
      </x:c>
      <x:c r="C130" s="6" t="str">
        <x:v>0402</x:v>
      </x:c>
      <x:c r="D130" s="6" t="str">
        <x:v>GRM1555C1E103JE01D</x:v>
      </x:c>
      <x:c r="E130" s="6" t="str">
        <x:v>muRata(村田)</x:v>
      </x:c>
      <x:c r="F130" s="6" t="str">
        <x:v>C3855387</x:v>
      </x:c>
      <x:c r="G130" s="6" t="n">
        <x:v>1</x:v>
      </x:c>
      <x:c r="H130" s="6" t="str">
        <x:v>Proposed new MPN; verify stock/package</x:v>
      </x:c>
    </x:row>
    <x:row r="131" ht="26.399999618530273" hidden="0" customHeight="1">
      <x:c r="A131" s="6" t="str">
        <x:v>100nF 10 V or greater</x:v>
      </x:c>
      <x:c r="B131" s="6" t="str">
        <x:v>C141</x:v>
      </x:c>
      <x:c r="C131" s="6" t="str">
        <x:v>0402</x:v>
      </x:c>
      <x:c r="D131" s="6" t="str">
        <x:v>CL05B104KO5NNNC</x:v>
      </x:c>
      <x:c r="E131" s="6" t="str">
        <x:v>SAMSUNG(三星)</x:v>
      </x:c>
      <x:c r="F131" s="6" t="str">
        <x:v>C1525</x:v>
      </x:c>
      <x:c r="G131" s="6" t="n">
        <x:v>1</x:v>
      </x:c>
      <x:c r="H131" s="6" t="str">
        <x:v>Proposed new MPN; verify stock/package</x:v>
      </x:c>
    </x:row>
    <x:row r="132" ht="26.399999618530273" hidden="0" customHeight="1">
      <x:c r="A132" s="6" t="str">
        <x:v>100nF 10 V or greater</x:v>
      </x:c>
      <x:c r="B132" s="6" t="str">
        <x:v>C142</x:v>
      </x:c>
      <x:c r="C132" s="6" t="str">
        <x:v>0402</x:v>
      </x:c>
      <x:c r="D132" s="6" t="str">
        <x:v>CL05B104KO5NNNC</x:v>
      </x:c>
      <x:c r="E132" s="6" t="str">
        <x:v>SAMSUNG(三星)</x:v>
      </x:c>
      <x:c r="F132" s="6" t="str">
        <x:v>C1525</x:v>
      </x:c>
      <x:c r="G132" s="6" t="n">
        <x:v>1</x:v>
      </x:c>
      <x:c r="H132" s="6" t="str">
        <x:v>Proposed new MPN; verify stock/package</x:v>
      </x:c>
    </x:row>
    <x:row r="133" ht="26.399999618530273" hidden="0" customHeight="1">
      <x:c r="A133" s="6" t="str">
        <x:v>10nF 5% 25 V or greater</x:v>
      </x:c>
      <x:c r="B133" s="6" t="str">
        <x:v>C143</x:v>
      </x:c>
      <x:c r="C133" s="6" t="str">
        <x:v>0402</x:v>
      </x:c>
      <x:c r="D133" s="6" t="str">
        <x:v>GRM1555C1E103JE01D</x:v>
      </x:c>
      <x:c r="E133" s="6" t="str">
        <x:v>muRata(村田)</x:v>
      </x:c>
      <x:c r="F133" s="6" t="str">
        <x:v>C3855387</x:v>
      </x:c>
      <x:c r="G133" s="6" t="n">
        <x:v>1</x:v>
      </x:c>
      <x:c r="H133" s="6" t="str">
        <x:v>Proposed new MPN; verify stock/package</x:v>
      </x:c>
    </x:row>
    <x:row r="134" ht="26.399999618530273" hidden="0" customHeight="1">
      <x:c r="A134" s="6" t="str">
        <x:v>100nF 10 V or greater</x:v>
      </x:c>
      <x:c r="B134" s="6" t="str">
        <x:v>C144</x:v>
      </x:c>
      <x:c r="C134" s="6" t="str">
        <x:v>0402</x:v>
      </x:c>
      <x:c r="D134" s="6" t="str">
        <x:v>CL05B104KO5NNNC</x:v>
      </x:c>
      <x:c r="E134" s="6" t="str">
        <x:v>SAMSUNG(三星)</x:v>
      </x:c>
      <x:c r="F134" s="6" t="str">
        <x:v>C1525</x:v>
      </x:c>
      <x:c r="G134" s="6" t="n">
        <x:v>1</x:v>
      </x:c>
      <x:c r="H134" s="6" t="str">
        <x:v>Proposed new MPN; verify stock/package</x:v>
      </x:c>
    </x:row>
    <x:row r="135" ht="26.399999618530273" hidden="0" customHeight="1">
      <x:c r="A135" s="6" t="str">
        <x:v>100nF 10 V or greater</x:v>
      </x:c>
      <x:c r="B135" s="6" t="str">
        <x:v>C145</x:v>
      </x:c>
      <x:c r="C135" s="6" t="str">
        <x:v>0402</x:v>
      </x:c>
      <x:c r="D135" s="6" t="str">
        <x:v>CL05B104KO5NNNC</x:v>
      </x:c>
      <x:c r="E135" s="6" t="str">
        <x:v>SAMSUNG(三星)</x:v>
      </x:c>
      <x:c r="F135" s="6" t="str">
        <x:v>C1525</x:v>
      </x:c>
      <x:c r="G135" s="6" t="n">
        <x:v>1</x:v>
      </x:c>
      <x:c r="H135" s="6" t="str">
        <x:v>Proposed new MPN; verify stock/package</x:v>
      </x:c>
    </x:row>
    <x:row r="136" ht="26.399999618530273" hidden="0" customHeight="1">
      <x:c r="A136" s="6" t="str">
        <x:v>10nF 5% 25 V or greater</x:v>
      </x:c>
      <x:c r="B136" s="6" t="str">
        <x:v>C146</x:v>
      </x:c>
      <x:c r="C136" s="6" t="str">
        <x:v>0402</x:v>
      </x:c>
      <x:c r="D136" s="6" t="str">
        <x:v>GRM1555C1E103JE01D</x:v>
      </x:c>
      <x:c r="E136" s="6" t="str">
        <x:v>muRata(村田)</x:v>
      </x:c>
      <x:c r="F136" s="6" t="str">
        <x:v>C3855387</x:v>
      </x:c>
      <x:c r="G136" s="6" t="n">
        <x:v>1</x:v>
      </x:c>
      <x:c r="H136" s="6" t="str">
        <x:v>Proposed new MPN; verify stock/package</x:v>
      </x:c>
    </x:row>
    <x:row r="137" ht="26.399999618530273" hidden="0" customHeight="1">
      <x:c r="A137" s="6" t="str">
        <x:v>100nF 10 V or greater</x:v>
      </x:c>
      <x:c r="B137" s="6" t="str">
        <x:v>C147</x:v>
      </x:c>
      <x:c r="C137" s="6" t="str">
        <x:v>0402</x:v>
      </x:c>
      <x:c r="D137" s="6" t="str">
        <x:v>CL05B104KO5NNNC</x:v>
      </x:c>
      <x:c r="E137" s="6" t="str">
        <x:v>SAMSUNG(三星)</x:v>
      </x:c>
      <x:c r="F137" s="6" t="str">
        <x:v>C1525</x:v>
      </x:c>
      <x:c r="G137" s="6" t="n">
        <x:v>1</x:v>
      </x:c>
      <x:c r="H137" s="6" t="str">
        <x:v>Proposed new MPN; verify stock/package</x:v>
      </x:c>
    </x:row>
    <x:row r="138" ht="26.399999618530273" hidden="0" customHeight="1">
      <x:c r="A138" s="6" t="str">
        <x:v>100nF 10 V or greater</x:v>
      </x:c>
      <x:c r="B138" s="6" t="str">
        <x:v>C148</x:v>
      </x:c>
      <x:c r="C138" s="6" t="str">
        <x:v>0402</x:v>
      </x:c>
      <x:c r="D138" s="6" t="str">
        <x:v>CL05B104KO5NNNC</x:v>
      </x:c>
      <x:c r="E138" s="6" t="str">
        <x:v>SAMSUNG(三星)</x:v>
      </x:c>
      <x:c r="F138" s="6" t="str">
        <x:v>C1525</x:v>
      </x:c>
      <x:c r="G138" s="6" t="n">
        <x:v>1</x:v>
      </x:c>
      <x:c r="H138" s="6" t="str">
        <x:v>Proposed new MPN; verify stock/package</x:v>
      </x:c>
    </x:row>
    <x:row r="139" ht="26.399999618530273" hidden="0" customHeight="1">
      <x:c r="A139" s="6" t="str">
        <x:v>10nF 5% 25 V or greater</x:v>
      </x:c>
      <x:c r="B139" s="6" t="str">
        <x:v>C149</x:v>
      </x:c>
      <x:c r="C139" s="6" t="str">
        <x:v>0402</x:v>
      </x:c>
      <x:c r="D139" s="6" t="str">
        <x:v>GRM1555C1E103JE01D</x:v>
      </x:c>
      <x:c r="E139" s="6" t="str">
        <x:v>muRata(村田)</x:v>
      </x:c>
      <x:c r="F139" s="6" t="str">
        <x:v>C3855387</x:v>
      </x:c>
      <x:c r="G139" s="6" t="n">
        <x:v>1</x:v>
      </x:c>
      <x:c r="H139" s="6" t="str">
        <x:v>Proposed new MPN; verify stock/package</x:v>
      </x:c>
    </x:row>
    <x:row r="140" ht="26.399999618530273" hidden="0" customHeight="1">
      <x:c r="A140" s="6" t="str">
        <x:v>4.7uF 10 V</x:v>
      </x:c>
      <x:c r="B140" s="6" t="str">
        <x:v>C150</x:v>
      </x:c>
      <x:c r="C140" s="6" t="str">
        <x:v>0805</x:v>
      </x:c>
      <x:c r="D140" s="6" t="str">
        <x:v>CL21A475KAQNNNE</x:v>
      </x:c>
      <x:c r="E140" s="6" t="str">
        <x:v>SAMSUNG(三星)</x:v>
      </x:c>
      <x:c r="F140" s="6" t="str">
        <x:v>C1779</x:v>
      </x:c>
      <x:c r="G140" s="6" t="n">
        <x:v>1</x:v>
      </x:c>
      <x:c r="H140" s="6" t="str">
        <x:v>Proposed new MPN; verify stock/package</x:v>
      </x:c>
    </x:row>
    <x:row r="141" ht="26.399999618530273" hidden="0" customHeight="1">
      <x:c r="A141" s="6" t="str">
        <x:v>4.7uF 10 V</x:v>
      </x:c>
      <x:c r="B141" s="6" t="str">
        <x:v>C151</x:v>
      </x:c>
      <x:c r="C141" s="6" t="str">
        <x:v>0805</x:v>
      </x:c>
      <x:c r="D141" s="6" t="str">
        <x:v>CL21A475KAQNNNE</x:v>
      </x:c>
      <x:c r="E141" s="6" t="str">
        <x:v>SAMSUNG(三星)</x:v>
      </x:c>
      <x:c r="F141" s="6" t="str">
        <x:v>C1779</x:v>
      </x:c>
      <x:c r="G141" s="6" t="n">
        <x:v>1</x:v>
      </x:c>
      <x:c r="H141" s="6" t="str">
        <x:v>Proposed new MPN; verify stock/package</x:v>
      </x:c>
    </x:row>
    <x:row r="142" ht="26.399999618530273" hidden="0" customHeight="1">
      <x:c r="A142" s="6" t="str">
        <x:v>4.7uF 10 V</x:v>
      </x:c>
      <x:c r="B142" s="6" t="str">
        <x:v>C152</x:v>
      </x:c>
      <x:c r="C142" s="6" t="str">
        <x:v>0805</x:v>
      </x:c>
      <x:c r="D142" s="6" t="str">
        <x:v>CL21A475KAQNNNE</x:v>
      </x:c>
      <x:c r="E142" s="6" t="str">
        <x:v>SAMSUNG(三星)</x:v>
      </x:c>
      <x:c r="F142" s="6" t="str">
        <x:v>C1779</x:v>
      </x:c>
      <x:c r="G142" s="6" t="n">
        <x:v>1</x:v>
      </x:c>
      <x:c r="H142" s="6" t="str">
        <x:v>Proposed new MPN; verify stock/package</x:v>
      </x:c>
    </x:row>
    <x:row r="143" ht="26.399999618530273" hidden="0" customHeight="1">
      <x:c r="A143" s="6" t="str">
        <x:v>4.7uF 10 V</x:v>
      </x:c>
      <x:c r="B143" s="6" t="str">
        <x:v>C153</x:v>
      </x:c>
      <x:c r="C143" s="6" t="str">
        <x:v>0805</x:v>
      </x:c>
      <x:c r="D143" s="6" t="str">
        <x:v>CL21A475KAQNNNE</x:v>
      </x:c>
      <x:c r="E143" s="6" t="str">
        <x:v>SAMSUNG(三星)</x:v>
      </x:c>
      <x:c r="F143" s="6" t="str">
        <x:v>C1779</x:v>
      </x:c>
      <x:c r="G143" s="6" t="n">
        <x:v>1</x:v>
      </x:c>
      <x:c r="H143" s="6" t="str">
        <x:v>Proposed new MPN; verify stock/package</x:v>
      </x:c>
    </x:row>
    <x:row r="144" ht="26.399999618530273" hidden="0" customHeight="1">
      <x:c r="A144" s="6" t="str">
        <x:v>4.7uF 10 V</x:v>
      </x:c>
      <x:c r="B144" s="6" t="str">
        <x:v>C154</x:v>
      </x:c>
      <x:c r="C144" s="6" t="str">
        <x:v>0805</x:v>
      </x:c>
      <x:c r="D144" s="6" t="str">
        <x:v>CL21A475KAQNNNE</x:v>
      </x:c>
      <x:c r="E144" s="6" t="str">
        <x:v>SAMSUNG(三星)</x:v>
      </x:c>
      <x:c r="F144" s="6" t="str">
        <x:v>C1779</x:v>
      </x:c>
      <x:c r="G144" s="6" t="n">
        <x:v>1</x:v>
      </x:c>
      <x:c r="H144" s="6" t="str">
        <x:v>Proposed new MPN; verify stock/package</x:v>
      </x:c>
    </x:row>
    <x:row r="145" ht="26.399999618530273" hidden="0" customHeight="1">
      <x:c r="A145" s="6" t="str">
        <x:v>10nF 5% 25 V or greater</x:v>
      </x:c>
      <x:c r="B145" s="6" t="str">
        <x:v>C155</x:v>
      </x:c>
      <x:c r="C145" s="6" t="str">
        <x:v>0402</x:v>
      </x:c>
      <x:c r="D145" s="6" t="str">
        <x:v>GRM1555C1E103JE01D</x:v>
      </x:c>
      <x:c r="E145" s="6" t="str">
        <x:v>muRata(村田)</x:v>
      </x:c>
      <x:c r="F145" s="6" t="str">
        <x:v>C3855387</x:v>
      </x:c>
      <x:c r="G145" s="6" t="n">
        <x:v>1</x:v>
      </x:c>
      <x:c r="H145" s="6" t="str">
        <x:v>Proposed new MPN; verify stock/package</x:v>
      </x:c>
    </x:row>
    <x:row r="146" ht="26.399999618530273" hidden="0" customHeight="1">
      <x:c r="A146" s="6" t="str">
        <x:v>4.7uF 10 V</x:v>
      </x:c>
      <x:c r="B146" s="6" t="str">
        <x:v>C156</x:v>
      </x:c>
      <x:c r="C146" s="6" t="str">
        <x:v>0805</x:v>
      </x:c>
      <x:c r="D146" s="6" t="str">
        <x:v>CL21A475KAQNNNE</x:v>
      </x:c>
      <x:c r="E146" s="6" t="str">
        <x:v>SAMSUNG(三星)</x:v>
      </x:c>
      <x:c r="F146" s="6" t="str">
        <x:v>C1779</x:v>
      </x:c>
      <x:c r="G146" s="6" t="n">
        <x:v>1</x:v>
      </x:c>
      <x:c r="H146" s="6" t="str">
        <x:v>Proposed new MPN; verify stock/package</x:v>
      </x:c>
    </x:row>
    <x:row r="147" ht="26.399999618530273" hidden="0" customHeight="1">
      <x:c r="A147" s="6" t="str">
        <x:v>4.7uF 10 V</x:v>
      </x:c>
      <x:c r="B147" s="6" t="str">
        <x:v>C157</x:v>
      </x:c>
      <x:c r="C147" s="6" t="str">
        <x:v>0805</x:v>
      </x:c>
      <x:c r="D147" s="6" t="str">
        <x:v>CL21A475KAQNNNE</x:v>
      </x:c>
      <x:c r="E147" s="6" t="str">
        <x:v>SAMSUNG(三星)</x:v>
      </x:c>
      <x:c r="F147" s="6" t="str">
        <x:v>C1779</x:v>
      </x:c>
      <x:c r="G147" s="6" t="n">
        <x:v>1</x:v>
      </x:c>
      <x:c r="H147" s="6" t="str">
        <x:v>Proposed new MPN; verify stock/package</x:v>
      </x:c>
    </x:row>
    <x:row r="148" ht="26.399999618530273" hidden="0" customHeight="1">
      <x:c r="A148" s="6" t="str">
        <x:v>4.7uF 10 V or greater</x:v>
      </x:c>
      <x:c r="B148" s="6" t="str">
        <x:v>C158</x:v>
      </x:c>
      <x:c r="C148" s="6" t="str">
        <x:v>0805</x:v>
      </x:c>
      <x:c r="D148" s="6" t="str">
        <x:v>CL21A475KAQNNNE</x:v>
      </x:c>
      <x:c r="E148" s="6" t="str">
        <x:v>SAMSUNG(三星)</x:v>
      </x:c>
      <x:c r="F148" s="6" t="str">
        <x:v>C1779</x:v>
      </x:c>
      <x:c r="G148" s="6" t="n">
        <x:v>1</x:v>
      </x:c>
      <x:c r="H148" s="6" t="str">
        <x:v>Proposed new MPN; verify stock/package</x:v>
      </x:c>
    </x:row>
    <x:row r="149" ht="26.399999618530273" hidden="0" customHeight="1">
      <x:c r="A149" s="6" t="str">
        <x:v>4.7uF 10 V or greater</x:v>
      </x:c>
      <x:c r="B149" s="6" t="str">
        <x:v>C159</x:v>
      </x:c>
      <x:c r="C149" s="6" t="str">
        <x:v>0805</x:v>
      </x:c>
      <x:c r="D149" s="6" t="str">
        <x:v>CL21A475KAQNNNE</x:v>
      </x:c>
      <x:c r="E149" s="6" t="str">
        <x:v>SAMSUNG(三星)</x:v>
      </x:c>
      <x:c r="F149" s="6" t="str">
        <x:v>C1779</x:v>
      </x:c>
      <x:c r="G149" s="6" t="n">
        <x:v>1</x:v>
      </x:c>
      <x:c r="H149" s="6" t="str">
        <x:v>Proposed new MPN; verify stock/package</x:v>
      </x:c>
    </x:row>
    <x:row r="150" ht="26.399999618530273" hidden="0" customHeight="1">
      <x:c r="A150" s="6" t="str">
        <x:v>100nF 10 V or greater</x:v>
      </x:c>
      <x:c r="B150" s="6" t="str">
        <x:v>C160</x:v>
      </x:c>
      <x:c r="C150" s="6" t="str">
        <x:v>0402</x:v>
      </x:c>
      <x:c r="D150" s="6" t="str">
        <x:v>CL05B104KO5NNNC</x:v>
      </x:c>
      <x:c r="E150" s="6" t="str">
        <x:v>SAMSUNG(三星)</x:v>
      </x:c>
      <x:c r="F150" s="6" t="str">
        <x:v>C1525</x:v>
      </x:c>
      <x:c r="G150" s="6" t="n">
        <x:v>1</x:v>
      </x:c>
      <x:c r="H150" s="6" t="str">
        <x:v>Proposed new MPN; verify stock/package</x:v>
      </x:c>
    </x:row>
    <x:row r="151" ht="26.399999618530273" hidden="0" customHeight="1">
      <x:c r="A151" s="6" t="str">
        <x:v>PJ-051BH</x:v>
      </x:c>
      <x:c r="B151" s="6" t="str">
        <x:v>CN1</x:v>
      </x:c>
      <x:c r="C151" s="6" t="str">
        <x:v>DIP-6</x:v>
      </x:c>
      <x:c r="D151" s="6" t="str">
        <x:v>PJ-051BH</x:v>
      </x:c>
      <x:c r="E151" s="6" t="str">
        <x:v>CUI</x:v>
      </x:c>
      <x:c r="F151" s="6" t="str">
        <x:v>C22359721</x:v>
      </x:c>
      <x:c r="G151" s="6" t="n">
        <x:v>1</x:v>
      </x:c>
      <x:c r="H151" s="6" t="str">
        <x:v>Exact MPN; verify stock/package</x:v>
      </x:c>
    </x:row>
    <x:row r="152" ht="26.399999618530273" hidden="0" customHeight="1">
      <x:c r="A152" s="6" t="str">
        <x:v>LPJE101-0AHN</x:v>
      </x:c>
      <x:c r="B152" s="6" t="str">
        <x:v>CN2</x:v>
      </x:c>
      <x:c r="C152" s="6" t="str">
        <x:v>DIP-8</x:v>
      </x:c>
      <x:c r="D152" s="6" t="str">
        <x:v>LPJE101-0AHN</x:v>
      </x:c>
      <x:c r="E152" s="6" t="str"/>
      <x:c r="F152" s="6" t="str"/>
      <x:c r="G152" s="6" t="n">
        <x:v>1</x:v>
      </x:c>
      <x:c r="H152" s="6" t="str">
        <x:v>Exact MPN; verify stock/package</x:v>
      </x:c>
    </x:row>
    <x:row r="153" ht="26.399999618530273" hidden="0" customHeight="1">
      <x:c r="A153" s="6" t="str">
        <x:v>USB4105</x:v>
      </x:c>
      <x:c r="B153" s="6" t="str">
        <x:v>CN3</x:v>
      </x:c>
      <x:c r="C153" s="6" t="str">
        <x:v>SMD-16</x:v>
      </x:c>
      <x:c r="D153" s="6" t="str">
        <x:v>USB4105-GF-A</x:v>
      </x:c>
      <x:c r="E153" s="6" t="str">
        <x:v>GCT</x:v>
      </x:c>
      <x:c r="F153" s="6" t="str">
        <x:v>C3020560</x:v>
      </x:c>
      <x:c r="G153" s="6" t="n">
        <x:v>1</x:v>
      </x:c>
      <x:c r="H153" s="6" t="str">
        <x:v>Exact MPN; verify stock/package</x:v>
      </x:c>
    </x:row>
    <x:row r="154" ht="26.399999618530273" hidden="0" customHeight="1">
      <x:c r="A154" s="6" t="str">
        <x:v>USB4105</x:v>
      </x:c>
      <x:c r="B154" s="6" t="str">
        <x:v>CN4</x:v>
      </x:c>
      <x:c r="C154" s="6" t="str">
        <x:v>SMD-16</x:v>
      </x:c>
      <x:c r="D154" s="6" t="str">
        <x:v>USB4105-GF-A</x:v>
      </x:c>
      <x:c r="E154" s="6" t="str">
        <x:v>GCT</x:v>
      </x:c>
      <x:c r="F154" s="6" t="str">
        <x:v>C3020560</x:v>
      </x:c>
      <x:c r="G154" s="6" t="n">
        <x:v>1</x:v>
      </x:c>
      <x:c r="H154" s="6" t="str">
        <x:v>Exact MPN; verify stock/package</x:v>
      </x:c>
    </x:row>
    <x:row r="155" ht="26.399999618530273" hidden="0" customHeight="1">
      <x:c r="A155" s="6" t="str">
        <x:v>ESD8351XV2T1G</x:v>
      </x:c>
      <x:c r="B155" s="6" t="str">
        <x:v>D1</x:v>
      </x:c>
      <x:c r="C155" s="6" t="str">
        <x:v>SOD-523</x:v>
      </x:c>
      <x:c r="D155" s="6" t="str">
        <x:v>ESD8351XV2T1G</x:v>
      </x:c>
      <x:c r="E155" s="6" t="str">
        <x:v>onsemi(安森美)</x:v>
      </x:c>
      <x:c r="F155" s="6" t="str">
        <x:v>C233437</x:v>
      </x:c>
      <x:c r="G155" s="6" t="n">
        <x:v>1</x:v>
      </x:c>
      <x:c r="H155" s="6" t="str">
        <x:v>Exact MPN; verify stock/package</x:v>
      </x:c>
    </x:row>
    <x:row r="156" ht="26.399999618530273" hidden="0" customHeight="1">
      <x:c r="A156" s="6" t="str">
        <x:v>LED/RED</x:v>
      </x:c>
      <x:c r="B156" s="6" t="str">
        <x:v>D2</x:v>
      </x:c>
      <x:c r="C156" s="6" t="str">
        <x:v>0805</x:v>
      </x:c>
      <x:c r="D156" s="6" t="str">
        <x:v>WR148SR-W</x:v>
      </x:c>
      <x:c r="E156" s="6" t="str"/>
      <x:c r="F156" s="6" t="str"/>
      <x:c r="G156" s="6" t="n">
        <x:v>1</x:v>
      </x:c>
      <x:c r="H156" s="6" t="str">
        <x:v>Exact MPN; verify stock/package</x:v>
      </x:c>
    </x:row>
    <x:row r="157" ht="26.399999618530273" hidden="0" customHeight="1">
      <x:c r="A157" s="6" t="str">
        <x:v>LED/RED</x:v>
      </x:c>
      <x:c r="B157" s="6" t="str">
        <x:v>D3</x:v>
      </x:c>
      <x:c r="C157" s="6" t="str">
        <x:v>0805</x:v>
      </x:c>
      <x:c r="D157" s="6" t="str">
        <x:v>WR148SR-W</x:v>
      </x:c>
      <x:c r="E157" s="6" t="str"/>
      <x:c r="F157" s="6" t="str"/>
      <x:c r="G157" s="6" t="n">
        <x:v>1</x:v>
      </x:c>
      <x:c r="H157" s="6" t="str">
        <x:v>Exact MPN; verify stock/package</x:v>
      </x:c>
    </x:row>
    <x:row r="158" ht="26.399999618530273" hidden="0" customHeight="1">
      <x:c r="A158" s="6" t="str">
        <x:v>LED/RED</x:v>
      </x:c>
      <x:c r="B158" s="6" t="str">
        <x:v>D4</x:v>
      </x:c>
      <x:c r="C158" s="6" t="str">
        <x:v>0805</x:v>
      </x:c>
      <x:c r="D158" s="6" t="str">
        <x:v>WR148SR-W</x:v>
      </x:c>
      <x:c r="E158" s="6" t="str"/>
      <x:c r="F158" s="6" t="str"/>
      <x:c r="G158" s="6" t="n">
        <x:v>1</x:v>
      </x:c>
      <x:c r="H158" s="6" t="str">
        <x:v>Exact MPN; verify stock/package</x:v>
      </x:c>
    </x:row>
    <x:row r="159" ht="26.399999618530273" hidden="0" customHeight="1">
      <x:c r="A159" s="6" t="str">
        <x:v>SMBJ6.5CA</x:v>
      </x:c>
      <x:c r="B159" s="6" t="str">
        <x:v>D5</x:v>
      </x:c>
      <x:c r="C159" s="6" t="str">
        <x:v>DO_214AA</x:v>
      </x:c>
      <x:c r="D159" s="6" t="str">
        <x:v>SMBJ6.5CA</x:v>
      </x:c>
      <x:c r="E159" s="6" t="str">
        <x:v>R+O(宏嘉诚)</x:v>
      </x:c>
      <x:c r="F159" s="6" t="str">
        <x:v>C7420377</x:v>
      </x:c>
      <x:c r="G159" s="6" t="n">
        <x:v>1</x:v>
      </x:c>
      <x:c r="H159" s="6" t="str">
        <x:v>Exact MPN; verify stock/package</x:v>
      </x:c>
    </x:row>
    <x:row r="160" ht="26.399999618530273" hidden="0" customHeight="1">
      <x:c r="A160" s="6" t="str">
        <x:v>LED/RED</x:v>
      </x:c>
      <x:c r="B160" s="6" t="str">
        <x:v>D6</x:v>
      </x:c>
      <x:c r="C160" s="6" t="str">
        <x:v>0805</x:v>
      </x:c>
      <x:c r="D160" s="6" t="str">
        <x:v>WR148SR-W</x:v>
      </x:c>
      <x:c r="E160" s="6" t="str"/>
      <x:c r="F160" s="6" t="str"/>
      <x:c r="G160" s="6" t="n">
        <x:v>1</x:v>
      </x:c>
      <x:c r="H160" s="6" t="str">
        <x:v>Exact MPN; verify stock/package</x:v>
      </x:c>
    </x:row>
    <x:row r="161" ht="39.599998474121094" hidden="0" customHeight="1">
      <x:c r="A161" s="6" t="str">
        <x:v>BAT54WS 0.1% 30 V 25 ppm/K or better</x:v>
      </x:c>
      <x:c r="B161" s="6" t="str">
        <x:v>D20</x:v>
      </x:c>
      <x:c r="C161" s="6" t="str">
        <x:v>STM_H747_ADC_LABTOOL_DIODE_20261018_VISHAY_SOD323_K1_A2</x:v>
      </x:c>
      <x:c r="D161" s="6" t="str">
        <x:v>BAT54WS-E3-08</x:v>
      </x:c>
      <x:c r="E161" s="6" t="str">
        <x:v>Vishay Semiconductors</x:v>
      </x:c>
      <x:c r="F161" s="6" t="str">
        <x:v>C917483</x:v>
      </x:c>
      <x:c r="G161" s="6" t="n">
        <x:v>1</x:v>
      </x:c>
      <x:c r="H161" s="6" t="str">
        <x:v>Exact MPN; verify stock/package</x:v>
      </x:c>
    </x:row>
    <x:row r="162" ht="26.399999618530273" hidden="0" customHeight="1">
      <x:c r="A162" s="6" t="str">
        <x:v>22</x:v>
      </x:c>
      <x:c r="B162" s="6" t="str">
        <x:v>FB1</x:v>
      </x:c>
      <x:c r="C162" s="6" t="str">
        <x:v>0603</x:v>
      </x:c>
      <x:c r="D162" s="6" t="str">
        <x:v>BLM18SN220TH1D</x:v>
      </x:c>
      <x:c r="E162" s="6" t="str"/>
      <x:c r="F162" s="6" t="str"/>
      <x:c r="G162" s="6" t="n">
        <x:v>1</x:v>
      </x:c>
      <x:c r="H162" s="6" t="str">
        <x:v>Exact MPN; verify stock/package</x:v>
      </x:c>
    </x:row>
    <x:row r="163" ht="26.399999618530273" hidden="0" customHeight="1">
      <x:c r="A163" s="6" t="str">
        <x:v>600</x:v>
      </x:c>
      <x:c r="B163" s="6" t="str">
        <x:v>FB2</x:v>
      </x:c>
      <x:c r="C163" s="6" t="str">
        <x:v>0603</x:v>
      </x:c>
      <x:c r="D163" s="6" t="str">
        <x:v>BLM18AG601SH1D</x:v>
      </x:c>
      <x:c r="E163" s="6" t="str"/>
      <x:c r="F163" s="6" t="str"/>
      <x:c r="G163" s="6" t="n">
        <x:v>1</x:v>
      </x:c>
      <x:c r="H163" s="6" t="str">
        <x:v>Exact MPN; verify stock/package</x:v>
      </x:c>
    </x:row>
    <x:row r="164" ht="26.399999618530273" hidden="0" customHeight="1">
      <x:c r="A164" s="6" t="str">
        <x:v>600</x:v>
      </x:c>
      <x:c r="B164" s="6" t="str">
        <x:v>FB3</x:v>
      </x:c>
      <x:c r="C164" s="6" t="str">
        <x:v>0603</x:v>
      </x:c>
      <x:c r="D164" s="6" t="str">
        <x:v>BLM18AG601SH1D</x:v>
      </x:c>
      <x:c r="E164" s="6" t="str"/>
      <x:c r="F164" s="6" t="str"/>
      <x:c r="G164" s="6" t="n">
        <x:v>1</x:v>
      </x:c>
      <x:c r="H164" s="6" t="str">
        <x:v>Exact MPN; verify stock/package</x:v>
      </x:c>
    </x:row>
    <x:row r="165" ht="26.399999618530273" hidden="0" customHeight="1">
      <x:c r="A165" s="6" t="str">
        <x:v>FTSH-107-01-L-DV-K-A</x:v>
      </x:c>
      <x:c r="B165" s="6" t="str">
        <x:v>J1</x:v>
      </x:c>
      <x:c r="C165" s="6" t="str">
        <x:v>DIP_14</x:v>
      </x:c>
      <x:c r="D165" s="6" t="str">
        <x:v>FTSH-107-01-L-DV-K-A</x:v>
      </x:c>
      <x:c r="E165" s="6" t="str">
        <x:v>SAMTEC</x:v>
      </x:c>
      <x:c r="F165" s="6" t="str">
        <x:v>C5563894</x:v>
      </x:c>
      <x:c r="G165" s="6" t="n">
        <x:v>1</x:v>
      </x:c>
      <x:c r="H165" s="6" t="str">
        <x:v>Exact MPN; verify stock/package</x:v>
      </x:c>
    </x:row>
    <x:row r="166" ht="26.399999618530273" hidden="0" customHeight="1">
      <x:c r="A166" s="6" t="str">
        <x:v>SMA-KWE901</x:v>
      </x:c>
      <x:c r="B166" s="6" t="str">
        <x:v>J2</x:v>
      </x:c>
      <x:c r="C166" s="6" t="str">
        <x:v>DIP-5</x:v>
      </x:c>
      <x:c r="D166" s="6" t="str">
        <x:v>SMA-KWE901</x:v>
      </x:c>
      <x:c r="E166" s="6" t="str">
        <x:v>DreamLNK(骏晔科技)</x:v>
      </x:c>
      <x:c r="F166" s="6" t="str">
        <x:v>C914553</x:v>
      </x:c>
      <x:c r="G166" s="6" t="n">
        <x:v>1</x:v>
      </x:c>
      <x:c r="H166" s="6" t="str">
        <x:v>Exact MPN; verify stock/package</x:v>
      </x:c>
    </x:row>
    <x:row r="167" ht="26.399999618530273" hidden="0" customHeight="1">
      <x:c r="A167" s="6" t="str">
        <x:v>SMA-KWE901</x:v>
      </x:c>
      <x:c r="B167" s="6" t="str">
        <x:v>J3</x:v>
      </x:c>
      <x:c r="C167" s="6" t="str">
        <x:v>DIP-5</x:v>
      </x:c>
      <x:c r="D167" s="6" t="str">
        <x:v>SMA-KWE901</x:v>
      </x:c>
      <x:c r="E167" s="6" t="str">
        <x:v>DreamLNK(骏晔科技)</x:v>
      </x:c>
      <x:c r="F167" s="6" t="str">
        <x:v>C914553</x:v>
      </x:c>
      <x:c r="G167" s="6" t="n">
        <x:v>1</x:v>
      </x:c>
      <x:c r="H167" s="6" t="str">
        <x:v>Exact MPN; verify stock/package</x:v>
      </x:c>
    </x:row>
    <x:row r="168" ht="26.399999618530273" hidden="0" customHeight="1">
      <x:c r="A168" s="6" t="str">
        <x:v>SMA-KWE901</x:v>
      </x:c>
      <x:c r="B168" s="6" t="str">
        <x:v>J4</x:v>
      </x:c>
      <x:c r="C168" s="6" t="str">
        <x:v>DIP-5</x:v>
      </x:c>
      <x:c r="D168" s="6" t="str">
        <x:v>SMA-KWE901</x:v>
      </x:c>
      <x:c r="E168" s="6" t="str">
        <x:v>DreamLNK(骏晔科技)</x:v>
      </x:c>
      <x:c r="F168" s="6" t="str">
        <x:v>C914553</x:v>
      </x:c>
      <x:c r="G168" s="6" t="n">
        <x:v>1</x:v>
      </x:c>
      <x:c r="H168" s="6" t="str">
        <x:v>Exact MPN; verify stock/package</x:v>
      </x:c>
    </x:row>
    <x:row r="169" ht="26.399999618530273" hidden="0" customHeight="1">
      <x:c r="A169" s="6" t="str">
        <x:v>SMA-KWE901</x:v>
      </x:c>
      <x:c r="B169" s="6" t="str">
        <x:v>J5</x:v>
      </x:c>
      <x:c r="C169" s="6" t="str">
        <x:v>DIP-5</x:v>
      </x:c>
      <x:c r="D169" s="6" t="str">
        <x:v>SMA-KWE901</x:v>
      </x:c>
      <x:c r="E169" s="6" t="str">
        <x:v>DreamLNK(骏晔科技)</x:v>
      </x:c>
      <x:c r="F169" s="6" t="str">
        <x:v>C914553</x:v>
      </x:c>
      <x:c r="G169" s="6" t="n">
        <x:v>1</x:v>
      </x:c>
      <x:c r="H169" s="6" t="str">
        <x:v>Exact MPN; verify stock/package</x:v>
      </x:c>
    </x:row>
    <x:row r="170" ht="26.399999618530273" hidden="0" customHeight="1">
      <x:c r="A170" s="6" t="str">
        <x:v>SMA-KWE901</x:v>
      </x:c>
      <x:c r="B170" s="6" t="str">
        <x:v>J6</x:v>
      </x:c>
      <x:c r="C170" s="6" t="str">
        <x:v>DIP-5</x:v>
      </x:c>
      <x:c r="D170" s="6" t="str">
        <x:v>SMA-KWE901</x:v>
      </x:c>
      <x:c r="E170" s="6" t="str">
        <x:v>DreamLNK(骏晔科技)</x:v>
      </x:c>
      <x:c r="F170" s="6" t="str">
        <x:v>C914553</x:v>
      </x:c>
      <x:c r="G170" s="6" t="n">
        <x:v>1</x:v>
      </x:c>
      <x:c r="H170" s="6" t="str">
        <x:v>Exact MPN; verify stock/package</x:v>
      </x:c>
    </x:row>
    <x:row r="171" ht="26.399999618530273" hidden="0" customHeight="1">
      <x:c r="A171" s="6" t="str">
        <x:v>SMA-KWE901</x:v>
      </x:c>
      <x:c r="B171" s="6" t="str">
        <x:v>J7</x:v>
      </x:c>
      <x:c r="C171" s="6" t="str">
        <x:v>DIP-5</x:v>
      </x:c>
      <x:c r="D171" s="6" t="str">
        <x:v>SMA-KWE901</x:v>
      </x:c>
      <x:c r="E171" s="6" t="str">
        <x:v>DreamLNK(骏晔科技)</x:v>
      </x:c>
      <x:c r="F171" s="6" t="str">
        <x:v>C914553</x:v>
      </x:c>
      <x:c r="G171" s="6" t="n">
        <x:v>1</x:v>
      </x:c>
      <x:c r="H171" s="6" t="str">
        <x:v>Exact MPN; verify stock/package</x:v>
      </x:c>
    </x:row>
    <x:row r="172" ht="26.399999618530273" hidden="0" customHeight="1">
      <x:c r="A172" s="6" t="str">
        <x:v>SMA-KWE901</x:v>
      </x:c>
      <x:c r="B172" s="6" t="str">
        <x:v>J8</x:v>
      </x:c>
      <x:c r="C172" s="6" t="str">
        <x:v>DIP-5</x:v>
      </x:c>
      <x:c r="D172" s="6" t="str">
        <x:v>SMA-KWE901</x:v>
      </x:c>
      <x:c r="E172" s="6" t="str">
        <x:v>DreamLNK(骏晔科技)</x:v>
      </x:c>
      <x:c r="F172" s="6" t="str">
        <x:v>C914553</x:v>
      </x:c>
      <x:c r="G172" s="6" t="n">
        <x:v>1</x:v>
      </x:c>
      <x:c r="H172" s="6" t="str">
        <x:v>Exact MPN; verify stock/package</x:v>
      </x:c>
    </x:row>
    <x:row r="173" ht="26.399999618530273" hidden="0" customHeight="1">
      <x:c r="A173" s="6" t="str">
        <x:v>SMA-KWE901</x:v>
      </x:c>
      <x:c r="B173" s="6" t="str">
        <x:v>J9</x:v>
      </x:c>
      <x:c r="C173" s="6" t="str">
        <x:v>DIP-5</x:v>
      </x:c>
      <x:c r="D173" s="6" t="str">
        <x:v>SMA-KWE901</x:v>
      </x:c>
      <x:c r="E173" s="6" t="str">
        <x:v>DreamLNK(骏晔科技)</x:v>
      </x:c>
      <x:c r="F173" s="6" t="str">
        <x:v>C914553</x:v>
      </x:c>
      <x:c r="G173" s="6" t="n">
        <x:v>1</x:v>
      </x:c>
      <x:c r="H173" s="6" t="str">
        <x:v>Exact MPN; verify stock/package</x:v>
      </x:c>
    </x:row>
    <x:row r="174" ht="26.399999618530273" hidden="0" customHeight="1">
      <x:c r="A174" s="6" t="str">
        <x:v>SMA-KWE901</x:v>
      </x:c>
      <x:c r="B174" s="6" t="str">
        <x:v>J10</x:v>
      </x:c>
      <x:c r="C174" s="6" t="str">
        <x:v>DIP-5</x:v>
      </x:c>
      <x:c r="D174" s="6" t="str">
        <x:v>SMA-KWE901</x:v>
      </x:c>
      <x:c r="E174" s="6" t="str">
        <x:v>DreamLNK(骏晔科技)</x:v>
      </x:c>
      <x:c r="F174" s="6" t="str">
        <x:v>C914553</x:v>
      </x:c>
      <x:c r="G174" s="6" t="n">
        <x:v>1</x:v>
      </x:c>
      <x:c r="H174" s="6" t="str">
        <x:v>Exact MPN; verify stock/package</x:v>
      </x:c>
    </x:row>
    <x:row r="175" ht="26.399999618530273" hidden="0" customHeight="1">
      <x:c r="A175" s="6" t="str">
        <x:v>SMA-KWE901</x:v>
      </x:c>
      <x:c r="B175" s="6" t="str">
        <x:v>J11</x:v>
      </x:c>
      <x:c r="C175" s="6" t="str">
        <x:v>DIP-5</x:v>
      </x:c>
      <x:c r="D175" s="6" t="str">
        <x:v>SMA-KWE901</x:v>
      </x:c>
      <x:c r="E175" s="6" t="str">
        <x:v>DreamLNK(骏晔科技)</x:v>
      </x:c>
      <x:c r="F175" s="6" t="str">
        <x:v>C914553</x:v>
      </x:c>
      <x:c r="G175" s="6" t="n">
        <x:v>1</x:v>
      </x:c>
      <x:c r="H175" s="6" t="str">
        <x:v>Exact MPN; verify stock/package</x:v>
      </x:c>
    </x:row>
    <x:row r="176" ht="26.399999618530273" hidden="0" customHeight="1">
      <x:c r="A176" s="6" t="str">
        <x:v>SMA-KWE901</x:v>
      </x:c>
      <x:c r="B176" s="6" t="str">
        <x:v>J12</x:v>
      </x:c>
      <x:c r="C176" s="6" t="str">
        <x:v>DIP-5</x:v>
      </x:c>
      <x:c r="D176" s="6" t="str">
        <x:v>SMA-KWE901</x:v>
      </x:c>
      <x:c r="E176" s="6" t="str">
        <x:v>DreamLNK(骏晔科技)</x:v>
      </x:c>
      <x:c r="F176" s="6" t="str">
        <x:v>C914553</x:v>
      </x:c>
      <x:c r="G176" s="6" t="n">
        <x:v>1</x:v>
      </x:c>
      <x:c r="H176" s="6" t="str">
        <x:v>Exact MPN; verify stock/package</x:v>
      </x:c>
    </x:row>
    <x:row r="177" ht="26.399999618530273" hidden="0" customHeight="1">
      <x:c r="A177" s="6" t="str">
        <x:v>SMA-KWE901</x:v>
      </x:c>
      <x:c r="B177" s="6" t="str">
        <x:v>J13</x:v>
      </x:c>
      <x:c r="C177" s="6" t="str">
        <x:v>DIP-5</x:v>
      </x:c>
      <x:c r="D177" s="6" t="str">
        <x:v>SMA-KWE901</x:v>
      </x:c>
      <x:c r="E177" s="6" t="str">
        <x:v>DreamLNK(骏晔科技)</x:v>
      </x:c>
      <x:c r="F177" s="6" t="str">
        <x:v>C914553</x:v>
      </x:c>
      <x:c r="G177" s="6" t="n">
        <x:v>1</x:v>
      </x:c>
      <x:c r="H177" s="6" t="str">
        <x:v>Exact MPN; verify stock/package</x:v>
      </x:c>
    </x:row>
    <x:row r="178" ht="26.399999618530273" hidden="0" customHeight="1">
      <x:c r="A178" s="6" t="str">
        <x:v>SMA-KWE901</x:v>
      </x:c>
      <x:c r="B178" s="6" t="str">
        <x:v>J14</x:v>
      </x:c>
      <x:c r="C178" s="6" t="str">
        <x:v>DIP-5</x:v>
      </x:c>
      <x:c r="D178" s="6" t="str">
        <x:v>SMA-KWE901</x:v>
      </x:c>
      <x:c r="E178" s="6" t="str">
        <x:v>DreamLNK(骏晔科技)</x:v>
      </x:c>
      <x:c r="F178" s="6" t="str">
        <x:v>C914553</x:v>
      </x:c>
      <x:c r="G178" s="6" t="n">
        <x:v>1</x:v>
      </x:c>
      <x:c r="H178" s="6" t="str">
        <x:v>Exact MPN; verify stock/package</x:v>
      </x:c>
    </x:row>
    <x:row r="179" ht="26.399999618530273" hidden="0" customHeight="1">
      <x:c r="A179" s="6" t="str">
        <x:v>SMA-KWE901</x:v>
      </x:c>
      <x:c r="B179" s="6" t="str">
        <x:v>J15</x:v>
      </x:c>
      <x:c r="C179" s="6" t="str">
        <x:v>DIP-5</x:v>
      </x:c>
      <x:c r="D179" s="6" t="str">
        <x:v>SMA-KWE901</x:v>
      </x:c>
      <x:c r="E179" s="6" t="str">
        <x:v>DreamLNK(骏晔科技)</x:v>
      </x:c>
      <x:c r="F179" s="6" t="str">
        <x:v>C914553</x:v>
      </x:c>
      <x:c r="G179" s="6" t="n">
        <x:v>1</x:v>
      </x:c>
      <x:c r="H179" s="6" t="str">
        <x:v>Exact MPN; verify stock/package</x:v>
      </x:c>
    </x:row>
    <x:row r="180" ht="26.399999618530273" hidden="0" customHeight="1">
      <x:c r="A180" s="6" t="str">
        <x:v>SMA-KWE901</x:v>
      </x:c>
      <x:c r="B180" s="6" t="str">
        <x:v>J16</x:v>
      </x:c>
      <x:c r="C180" s="6" t="str">
        <x:v>DIP-5</x:v>
      </x:c>
      <x:c r="D180" s="6" t="str">
        <x:v>SMA-KWE901</x:v>
      </x:c>
      <x:c r="E180" s="6" t="str">
        <x:v>DreamLNK(骏晔科技)</x:v>
      </x:c>
      <x:c r="F180" s="6" t="str">
        <x:v>C914553</x:v>
      </x:c>
      <x:c r="G180" s="6" t="n">
        <x:v>1</x:v>
      </x:c>
      <x:c r="H180" s="6" t="str">
        <x:v>Exact MPN; verify stock/package</x:v>
      </x:c>
    </x:row>
    <x:row r="181" ht="26.399999618530273" hidden="0" customHeight="1">
      <x:c r="A181" s="6" t="str">
        <x:v>SMA-KWE901</x:v>
      </x:c>
      <x:c r="B181" s="6" t="str">
        <x:v>J17</x:v>
      </x:c>
      <x:c r="C181" s="6" t="str">
        <x:v>DIP-5</x:v>
      </x:c>
      <x:c r="D181" s="6" t="str">
        <x:v>SMA-KWE901</x:v>
      </x:c>
      <x:c r="E181" s="6" t="str">
        <x:v>DreamLNK(骏晔科技)</x:v>
      </x:c>
      <x:c r="F181" s="6" t="str">
        <x:v>C914553</x:v>
      </x:c>
      <x:c r="G181" s="6" t="n">
        <x:v>1</x:v>
      </x:c>
      <x:c r="H181" s="6" t="str">
        <x:v>Exact MPN; verify stock/package</x:v>
      </x:c>
    </x:row>
    <x:row r="182" ht="26.399999618530273" hidden="0" customHeight="1">
      <x:c r="A182" s="6" t="str">
        <x:v>PPTC052LFBN-RC</x:v>
      </x:c>
      <x:c r="B182" s="6" t="str">
        <x:v>J18</x:v>
      </x:c>
      <x:c r="C182" s="6" t="str">
        <x:v>DIP-10</x:v>
      </x:c>
      <x:c r="D182" s="6" t="str">
        <x:v>PPTC052LFBN-RC</x:v>
      </x:c>
      <x:c r="E182" s="6" t="str"/>
      <x:c r="F182" s="6" t="str"/>
      <x:c r="G182" s="6" t="n">
        <x:v>1</x:v>
      </x:c>
      <x:c r="H182" s="6" t="str">
        <x:v>Exact MPN; verify stock/package</x:v>
      </x:c>
    </x:row>
    <x:row r="183" ht="26.399999618530273" hidden="0" customHeight="1">
      <x:c r="A183" s="6" t="str">
        <x:v>LQM2MPN2R2NG0L</x:v>
      </x:c>
      <x:c r="B183" s="6" t="str">
        <x:v>L1</x:v>
      </x:c>
      <x:c r="C183" s="6" t="str">
        <x:v>0806</x:v>
      </x:c>
      <x:c r="D183" s="6" t="str">
        <x:v>LQM2MPN2R2NG0L</x:v>
      </x:c>
      <x:c r="E183" s="6" t="str"/>
      <x:c r="F183" s="6" t="str"/>
      <x:c r="G183" s="6" t="n">
        <x:v>1</x:v>
      </x:c>
      <x:c r="H183" s="6" t="str">
        <x:v>Exact MPN; verify stock/package</x:v>
      </x:c>
    </x:row>
    <x:row r="184" ht="26.399999618530273" hidden="0" customHeight="1">
      <x:c r="A184" s="6" t="str">
        <x:v>9013</x:v>
      </x:c>
      <x:c r="B184" s="6" t="str">
        <x:v>Q1</x:v>
      </x:c>
      <x:c r="C184" s="6" t="str">
        <x:v>SOT-23</x:v>
      </x:c>
      <x:c r="D184" s="6" t="str">
        <x:v>9013M</x:v>
      </x:c>
      <x:c r="E184" s="6" t="str">
        <x:v>BLUE ROCKET(蓝箭)</x:v>
      </x:c>
      <x:c r="F184" s="6" t="str">
        <x:v>C7429762</x:v>
      </x:c>
      <x:c r="G184" s="6" t="n">
        <x:v>1</x:v>
      </x:c>
      <x:c r="H184" s="6" t="str">
        <x:v>Exact MPN; verify stock/package</x:v>
      </x:c>
    </x:row>
    <x:row r="185" ht="26.399999618530273" hidden="0" customHeight="1">
      <x:c r="A185" s="6" t="str">
        <x:v>33</x:v>
      </x:c>
      <x:c r="B185" s="6" t="str">
        <x:v>R1</x:v>
      </x:c>
      <x:c r="C185" s="6" t="str">
        <x:v>0402</x:v>
      </x:c>
      <x:c r="D185" s="6" t="str">
        <x:v>ERJ-2GEJ330X</x:v>
      </x:c>
      <x:c r="E185" s="6" t="str"/>
      <x:c r="F185" s="6" t="str"/>
      <x:c r="G185" s="6" t="n">
        <x:v>1</x:v>
      </x:c>
      <x:c r="H185" s="6" t="str">
        <x:v>Exact MPN; verify stock/package</x:v>
      </x:c>
    </x:row>
    <x:row r="186" ht="26.399999618530273" hidden="0" customHeight="1">
      <x:c r="A186" s="6" t="str">
        <x:v>33</x:v>
      </x:c>
      <x:c r="B186" s="6" t="str">
        <x:v>R2</x:v>
      </x:c>
      <x:c r="C186" s="6" t="str">
        <x:v>0402</x:v>
      </x:c>
      <x:c r="D186" s="6" t="str">
        <x:v>ERJ-2GEJ330X</x:v>
      </x:c>
      <x:c r="E186" s="6" t="str"/>
      <x:c r="F186" s="6" t="str"/>
      <x:c r="G186" s="6" t="n">
        <x:v>1</x:v>
      </x:c>
      <x:c r="H186" s="6" t="str">
        <x:v>Exact MPN; verify stock/package</x:v>
      </x:c>
    </x:row>
    <x:row r="187" ht="26.399999618530273" hidden="0" customHeight="1">
      <x:c r="A187" s="6" t="str">
        <x:v>0</x:v>
      </x:c>
      <x:c r="B187" s="6" t="str">
        <x:v>R3</x:v>
      </x:c>
      <x:c r="C187" s="6" t="str">
        <x:v>0402</x:v>
      </x:c>
      <x:c r="D187" s="6" t="str">
        <x:v>ERJ-2GE0R00X</x:v>
      </x:c>
      <x:c r="E187" s="6" t="str"/>
      <x:c r="F187" s="6" t="str"/>
      <x:c r="G187" s="6" t="n">
        <x:v>1</x:v>
      </x:c>
      <x:c r="H187" s="6" t="str">
        <x:v>Exact MPN; verify stock/package</x:v>
      </x:c>
    </x:row>
    <x:row r="188" ht="26.399999618530273" hidden="0" customHeight="1">
      <x:c r="A188" s="6" t="str">
        <x:v>33</x:v>
      </x:c>
      <x:c r="B188" s="6" t="str">
        <x:v>R4</x:v>
      </x:c>
      <x:c r="C188" s="6" t="str">
        <x:v>0402</x:v>
      </x:c>
      <x:c r="D188" s="6" t="str">
        <x:v>ERJ-2GEJ330X</x:v>
      </x:c>
      <x:c r="E188" s="6" t="str"/>
      <x:c r="F188" s="6" t="str"/>
      <x:c r="G188" s="6" t="n">
        <x:v>1</x:v>
      </x:c>
      <x:c r="H188" s="6" t="str">
        <x:v>Exact MPN; verify stock/package</x:v>
      </x:c>
    </x:row>
    <x:row r="189" ht="26.399999618530273" hidden="0" customHeight="1">
      <x:c r="A189" s="6" t="str">
        <x:v>33</x:v>
      </x:c>
      <x:c r="B189" s="6" t="str">
        <x:v>R5</x:v>
      </x:c>
      <x:c r="C189" s="6" t="str">
        <x:v>0402</x:v>
      </x:c>
      <x:c r="D189" s="6" t="str">
        <x:v>ERJ-2GEJ330X</x:v>
      </x:c>
      <x:c r="E189" s="6" t="str"/>
      <x:c r="F189" s="6" t="str"/>
      <x:c r="G189" s="6" t="n">
        <x:v>1</x:v>
      </x:c>
      <x:c r="H189" s="6" t="str">
        <x:v>Exact MPN; verify stock/package</x:v>
      </x:c>
    </x:row>
    <x:row r="190" ht="26.399999618530273" hidden="0" customHeight="1">
      <x:c r="A190" s="6" t="str">
        <x:v>33</x:v>
      </x:c>
      <x:c r="B190" s="6" t="str">
        <x:v>R6</x:v>
      </x:c>
      <x:c r="C190" s="6" t="str">
        <x:v>0402</x:v>
      </x:c>
      <x:c r="D190" s="6" t="str">
        <x:v>ERJ-2GEJ330X</x:v>
      </x:c>
      <x:c r="E190" s="6" t="str"/>
      <x:c r="F190" s="6" t="str"/>
      <x:c r="G190" s="6" t="n">
        <x:v>1</x:v>
      </x:c>
      <x:c r="H190" s="6" t="str">
        <x:v>Exact MPN; verify stock/package</x:v>
      </x:c>
    </x:row>
    <x:row r="191" ht="26.399999618530273" hidden="0" customHeight="1">
      <x:c r="A191" s="6" t="str">
        <x:v>33</x:v>
      </x:c>
      <x:c r="B191" s="6" t="str">
        <x:v>R7</x:v>
      </x:c>
      <x:c r="C191" s="6" t="str">
        <x:v>0402</x:v>
      </x:c>
      <x:c r="D191" s="6" t="str">
        <x:v>ERJ-2GEJ330X</x:v>
      </x:c>
      <x:c r="E191" s="6" t="str"/>
      <x:c r="F191" s="6" t="str"/>
      <x:c r="G191" s="6" t="n">
        <x:v>1</x:v>
      </x:c>
      <x:c r="H191" s="6" t="str">
        <x:v>Exact MPN; verify stock/package</x:v>
      </x:c>
    </x:row>
    <x:row r="192" ht="26.399999618530273" hidden="0" customHeight="1">
      <x:c r="A192" s="6" t="str">
        <x:v>33</x:v>
      </x:c>
      <x:c r="B192" s="6" t="str">
        <x:v>R8</x:v>
      </x:c>
      <x:c r="C192" s="6" t="str">
        <x:v>0402</x:v>
      </x:c>
      <x:c r="D192" s="6" t="str">
        <x:v>ERJ-2GEJ330X</x:v>
      </x:c>
      <x:c r="E192" s="6" t="str"/>
      <x:c r="F192" s="6" t="str"/>
      <x:c r="G192" s="6" t="n">
        <x:v>1</x:v>
      </x:c>
      <x:c r="H192" s="6" t="str">
        <x:v>Exact MPN; verify stock/package</x:v>
      </x:c>
    </x:row>
    <x:row r="193" ht="26.399999618530273" hidden="0" customHeight="1">
      <x:c r="A193" s="6" t="str">
        <x:v>33</x:v>
      </x:c>
      <x:c r="B193" s="6" t="str">
        <x:v>R9</x:v>
      </x:c>
      <x:c r="C193" s="6" t="str">
        <x:v>0402</x:v>
      </x:c>
      <x:c r="D193" s="6" t="str">
        <x:v>ERJ-2GEJ330X</x:v>
      </x:c>
      <x:c r="E193" s="6" t="str"/>
      <x:c r="F193" s="6" t="str"/>
      <x:c r="G193" s="6" t="n">
        <x:v>1</x:v>
      </x:c>
      <x:c r="H193" s="6" t="str">
        <x:v>Exact MPN; verify stock/package</x:v>
      </x:c>
    </x:row>
    <x:row r="194" ht="26.399999618530273" hidden="0" customHeight="1">
      <x:c r="A194" s="6" t="str">
        <x:v>33</x:v>
      </x:c>
      <x:c r="B194" s="6" t="str">
        <x:v>R10</x:v>
      </x:c>
      <x:c r="C194" s="6" t="str">
        <x:v>0402</x:v>
      </x:c>
      <x:c r="D194" s="6" t="str">
        <x:v>ERJ-2GEJ330X</x:v>
      </x:c>
      <x:c r="E194" s="6" t="str"/>
      <x:c r="F194" s="6" t="str"/>
      <x:c r="G194" s="6" t="n">
        <x:v>1</x:v>
      </x:c>
      <x:c r="H194" s="6" t="str">
        <x:v>Exact MPN; verify stock/package</x:v>
      </x:c>
    </x:row>
    <x:row r="195" ht="26.399999618530273" hidden="0" customHeight="1">
      <x:c r="A195" s="6" t="str">
        <x:v>33</x:v>
      </x:c>
      <x:c r="B195" s="6" t="str">
        <x:v>R11</x:v>
      </x:c>
      <x:c r="C195" s="6" t="str">
        <x:v>0402</x:v>
      </x:c>
      <x:c r="D195" s="6" t="str">
        <x:v>ERJ-2GEJ330X</x:v>
      </x:c>
      <x:c r="E195" s="6" t="str"/>
      <x:c r="F195" s="6" t="str"/>
      <x:c r="G195" s="6" t="n">
        <x:v>1</x:v>
      </x:c>
      <x:c r="H195" s="6" t="str">
        <x:v>Exact MPN; verify stock/package</x:v>
      </x:c>
    </x:row>
    <x:row r="196" ht="26.399999618530273" hidden="0" customHeight="1">
      <x:c r="A196" s="6" t="str">
        <x:v>33</x:v>
      </x:c>
      <x:c r="B196" s="6" t="str">
        <x:v>R12</x:v>
      </x:c>
      <x:c r="C196" s="6" t="str">
        <x:v>0402</x:v>
      </x:c>
      <x:c r="D196" s="6" t="str">
        <x:v>ERJ-2GEJ330X</x:v>
      </x:c>
      <x:c r="E196" s="6" t="str"/>
      <x:c r="F196" s="6" t="str"/>
      <x:c r="G196" s="6" t="n">
        <x:v>1</x:v>
      </x:c>
      <x:c r="H196" s="6" t="str">
        <x:v>Exact MPN; verify stock/package</x:v>
      </x:c>
    </x:row>
    <x:row r="197" ht="26.399999618530273" hidden="0" customHeight="1">
      <x:c r="A197" s="6" t="str">
        <x:v>33</x:v>
      </x:c>
      <x:c r="B197" s="6" t="str">
        <x:v>R13</x:v>
      </x:c>
      <x:c r="C197" s="6" t="str">
        <x:v>0402</x:v>
      </x:c>
      <x:c r="D197" s="6" t="str">
        <x:v>ERJ-2GEJ330X</x:v>
      </x:c>
      <x:c r="E197" s="6" t="str"/>
      <x:c r="F197" s="6" t="str"/>
      <x:c r="G197" s="6" t="n">
        <x:v>1</x:v>
      </x:c>
      <x:c r="H197" s="6" t="str">
        <x:v>Exact MPN; verify stock/package</x:v>
      </x:c>
    </x:row>
    <x:row r="198" ht="26.399999618530273" hidden="0" customHeight="1">
      <x:c r="A198" s="6" t="str">
        <x:v>33</x:v>
      </x:c>
      <x:c r="B198" s="6" t="str">
        <x:v>R14</x:v>
      </x:c>
      <x:c r="C198" s="6" t="str">
        <x:v>0402</x:v>
      </x:c>
      <x:c r="D198" s="6" t="str">
        <x:v>ERJ-2GEJ330X</x:v>
      </x:c>
      <x:c r="E198" s="6" t="str"/>
      <x:c r="F198" s="6" t="str"/>
      <x:c r="G198" s="6" t="n">
        <x:v>1</x:v>
      </x:c>
      <x:c r="H198" s="6" t="str">
        <x:v>Exact MPN; verify stock/package</x:v>
      </x:c>
    </x:row>
    <x:row r="199" ht="26.399999618530273" hidden="0" customHeight="1">
      <x:c r="A199" s="6" t="str">
        <x:v>33</x:v>
      </x:c>
      <x:c r="B199" s="6" t="str">
        <x:v>R15</x:v>
      </x:c>
      <x:c r="C199" s="6" t="str">
        <x:v>0402</x:v>
      </x:c>
      <x:c r="D199" s="6" t="str">
        <x:v>ERJ-2GEJ330X</x:v>
      </x:c>
      <x:c r="E199" s="6" t="str"/>
      <x:c r="F199" s="6" t="str"/>
      <x:c r="G199" s="6" t="n">
        <x:v>1</x:v>
      </x:c>
      <x:c r="H199" s="6" t="str">
        <x:v>Exact MPN; verify stock/package</x:v>
      </x:c>
    </x:row>
    <x:row r="200" ht="26.399999618530273" hidden="0" customHeight="1">
      <x:c r="A200" s="6" t="str">
        <x:v>33</x:v>
      </x:c>
      <x:c r="B200" s="6" t="str">
        <x:v>R16</x:v>
      </x:c>
      <x:c r="C200" s="6" t="str">
        <x:v>0402</x:v>
      </x:c>
      <x:c r="D200" s="6" t="str">
        <x:v>ERJ-2GEJ330X</x:v>
      </x:c>
      <x:c r="E200" s="6" t="str"/>
      <x:c r="F200" s="6" t="str"/>
      <x:c r="G200" s="6" t="n">
        <x:v>1</x:v>
      </x:c>
      <x:c r="H200" s="6" t="str">
        <x:v>Exact MPN; verify stock/package</x:v>
      </x:c>
    </x:row>
    <x:row r="201" ht="26.399999618530273" hidden="0" customHeight="1">
      <x:c r="A201" s="6" t="str">
        <x:v>33</x:v>
      </x:c>
      <x:c r="B201" s="6" t="str">
        <x:v>R17</x:v>
      </x:c>
      <x:c r="C201" s="6" t="str">
        <x:v>0402</x:v>
      </x:c>
      <x:c r="D201" s="6" t="str">
        <x:v>ERJ-2GEJ330X</x:v>
      </x:c>
      <x:c r="E201" s="6" t="str"/>
      <x:c r="F201" s="6" t="str"/>
      <x:c r="G201" s="6" t="n">
        <x:v>1</x:v>
      </x:c>
      <x:c r="H201" s="6" t="str">
        <x:v>Exact MPN; verify stock/package</x:v>
      </x:c>
    </x:row>
    <x:row r="202" ht="26.399999618530273" hidden="0" customHeight="1">
      <x:c r="A202" s="6" t="str">
        <x:v>33</x:v>
      </x:c>
      <x:c r="B202" s="6" t="str">
        <x:v>R18</x:v>
      </x:c>
      <x:c r="C202" s="6" t="str">
        <x:v>0402</x:v>
      </x:c>
      <x:c r="D202" s="6" t="str">
        <x:v>ERJ-2GEJ330X</x:v>
      </x:c>
      <x:c r="E202" s="6" t="str"/>
      <x:c r="F202" s="6" t="str"/>
      <x:c r="G202" s="6" t="n">
        <x:v>1</x:v>
      </x:c>
      <x:c r="H202" s="6" t="str">
        <x:v>Exact MPN; verify stock/package</x:v>
      </x:c>
    </x:row>
    <x:row r="203" ht="26.399999618530273" hidden="0" customHeight="1">
      <x:c r="A203" s="6" t="str">
        <x:v>33</x:v>
      </x:c>
      <x:c r="B203" s="6" t="str">
        <x:v>R19</x:v>
      </x:c>
      <x:c r="C203" s="6" t="str">
        <x:v>0402</x:v>
      </x:c>
      <x:c r="D203" s="6" t="str">
        <x:v>ERJ-2GEJ330X</x:v>
      </x:c>
      <x:c r="E203" s="6" t="str"/>
      <x:c r="F203" s="6" t="str"/>
      <x:c r="G203" s="6" t="n">
        <x:v>1</x:v>
      </x:c>
      <x:c r="H203" s="6" t="str">
        <x:v>Exact MPN; verify stock/package</x:v>
      </x:c>
    </x:row>
    <x:row r="204" ht="26.399999618530273" hidden="0" customHeight="1">
      <x:c r="A204" s="6" t="str">
        <x:v>33</x:v>
      </x:c>
      <x:c r="B204" s="6" t="str">
        <x:v>R20</x:v>
      </x:c>
      <x:c r="C204" s="6" t="str">
        <x:v>0402</x:v>
      </x:c>
      <x:c r="D204" s="6" t="str">
        <x:v>ERJ-2GEJ330X</x:v>
      </x:c>
      <x:c r="E204" s="6" t="str"/>
      <x:c r="F204" s="6" t="str"/>
      <x:c r="G204" s="6" t="n">
        <x:v>1</x:v>
      </x:c>
      <x:c r="H204" s="6" t="str">
        <x:v>Exact MPN; verify stock/package</x:v>
      </x:c>
    </x:row>
    <x:row r="205" ht="26.399999618530273" hidden="0" customHeight="1">
      <x:c r="A205" s="6" t="str">
        <x:v>0</x:v>
      </x:c>
      <x:c r="B205" s="6" t="str">
        <x:v>R21</x:v>
      </x:c>
      <x:c r="C205" s="6" t="str">
        <x:v>0402</x:v>
      </x:c>
      <x:c r="D205" s="6" t="str">
        <x:v>ERJ-2GE0R00X</x:v>
      </x:c>
      <x:c r="E205" s="6" t="str"/>
      <x:c r="F205" s="6" t="str"/>
      <x:c r="G205" s="6" t="n">
        <x:v>1</x:v>
      </x:c>
      <x:c r="H205" s="6" t="str">
        <x:v>Exact MPN; verify stock/package</x:v>
      </x:c>
    </x:row>
    <x:row r="206" ht="26.399999618530273" hidden="0" customHeight="1">
      <x:c r="A206" s="6" t="str">
        <x:v>33</x:v>
      </x:c>
      <x:c r="B206" s="6" t="str">
        <x:v>R22</x:v>
      </x:c>
      <x:c r="C206" s="6" t="str">
        <x:v>0402</x:v>
      </x:c>
      <x:c r="D206" s="6" t="str">
        <x:v>ERJ-2GEJ330X</x:v>
      </x:c>
      <x:c r="E206" s="6" t="str"/>
      <x:c r="F206" s="6" t="str"/>
      <x:c r="G206" s="6" t="n">
        <x:v>1</x:v>
      </x:c>
      <x:c r="H206" s="6" t="str">
        <x:v>Exact MPN; verify stock/package</x:v>
      </x:c>
    </x:row>
    <x:row r="207" ht="26.399999618530273" hidden="0" customHeight="1">
      <x:c r="A207" s="6" t="str">
        <x:v>0</x:v>
      </x:c>
      <x:c r="B207" s="6" t="str">
        <x:v>R23</x:v>
      </x:c>
      <x:c r="C207" s="6" t="str">
        <x:v>0402</x:v>
      </x:c>
      <x:c r="D207" s="6" t="str">
        <x:v>ERJ-2GE0R00X</x:v>
      </x:c>
      <x:c r="E207" s="6" t="str"/>
      <x:c r="F207" s="6" t="str"/>
      <x:c r="G207" s="6" t="n">
        <x:v>1</x:v>
      </x:c>
      <x:c r="H207" s="6" t="str">
        <x:v>Exact MPN; verify stock/package</x:v>
      </x:c>
    </x:row>
    <x:row r="208" ht="26.399999618530273" hidden="0" customHeight="1">
      <x:c r="A208" s="6" t="str">
        <x:v>33</x:v>
      </x:c>
      <x:c r="B208" s="6" t="str">
        <x:v>R24</x:v>
      </x:c>
      <x:c r="C208" s="6" t="str">
        <x:v>0402</x:v>
      </x:c>
      <x:c r="D208" s="6" t="str">
        <x:v>ERJ-2GEJ330X</x:v>
      </x:c>
      <x:c r="E208" s="6" t="str"/>
      <x:c r="F208" s="6" t="str"/>
      <x:c r="G208" s="6" t="n">
        <x:v>1</x:v>
      </x:c>
      <x:c r="H208" s="6" t="str">
        <x:v>Exact MPN; verify stock/package</x:v>
      </x:c>
    </x:row>
    <x:row r="209" ht="26.399999618530273" hidden="0" customHeight="1">
      <x:c r="A209" s="6" t="str">
        <x:v>33</x:v>
      </x:c>
      <x:c r="B209" s="6" t="str">
        <x:v>R25</x:v>
      </x:c>
      <x:c r="C209" s="6" t="str">
        <x:v>0402</x:v>
      </x:c>
      <x:c r="D209" s="6" t="str">
        <x:v>ERJ-2GEJ330X</x:v>
      </x:c>
      <x:c r="E209" s="6" t="str"/>
      <x:c r="F209" s="6" t="str"/>
      <x:c r="G209" s="6" t="n">
        <x:v>1</x:v>
      </x:c>
      <x:c r="H209" s="6" t="str">
        <x:v>Exact MPN; verify stock/package</x:v>
      </x:c>
    </x:row>
    <x:row r="210" ht="26.399999618530273" hidden="0" customHeight="1">
      <x:c r="A210" s="6" t="str">
        <x:v>33</x:v>
      </x:c>
      <x:c r="B210" s="6" t="str">
        <x:v>R26</x:v>
      </x:c>
      <x:c r="C210" s="6" t="str">
        <x:v>0402</x:v>
      </x:c>
      <x:c r="D210" s="6" t="str">
        <x:v>ERJ-2GEJ330X</x:v>
      </x:c>
      <x:c r="E210" s="6" t="str"/>
      <x:c r="F210" s="6" t="str"/>
      <x:c r="G210" s="6" t="n">
        <x:v>1</x:v>
      </x:c>
      <x:c r="H210" s="6" t="str">
        <x:v>Exact MPN; verify stock/package</x:v>
      </x:c>
    </x:row>
    <x:row r="211" ht="26.399999618530273" hidden="0" customHeight="1">
      <x:c r="A211" s="6" t="str">
        <x:v>33</x:v>
      </x:c>
      <x:c r="B211" s="6" t="str">
        <x:v>R27</x:v>
      </x:c>
      <x:c r="C211" s="6" t="str">
        <x:v>0402</x:v>
      </x:c>
      <x:c r="D211" s="6" t="str">
        <x:v>ERJ-2GEJ330X</x:v>
      </x:c>
      <x:c r="E211" s="6" t="str"/>
      <x:c r="F211" s="6" t="str"/>
      <x:c r="G211" s="6" t="n">
        <x:v>1</x:v>
      </x:c>
      <x:c r="H211" s="6" t="str">
        <x:v>Exact MPN; verify stock/package</x:v>
      </x:c>
    </x:row>
    <x:row r="212" ht="26.399999618530273" hidden="0" customHeight="1">
      <x:c r="A212" s="6" t="str">
        <x:v>33</x:v>
      </x:c>
      <x:c r="B212" s="6" t="str">
        <x:v>R28</x:v>
      </x:c>
      <x:c r="C212" s="6" t="str">
        <x:v>0402</x:v>
      </x:c>
      <x:c r="D212" s="6" t="str">
        <x:v>ERJ-2GEJ330X</x:v>
      </x:c>
      <x:c r="E212" s="6" t="str"/>
      <x:c r="F212" s="6" t="str"/>
      <x:c r="G212" s="6" t="n">
        <x:v>1</x:v>
      </x:c>
      <x:c r="H212" s="6" t="str">
        <x:v>Exact MPN; verify stock/package</x:v>
      </x:c>
    </x:row>
    <x:row r="213" ht="26.399999618530273" hidden="0" customHeight="1">
      <x:c r="A213" s="6" t="str">
        <x:v>33</x:v>
      </x:c>
      <x:c r="B213" s="6" t="str">
        <x:v>R29</x:v>
      </x:c>
      <x:c r="C213" s="6" t="str">
        <x:v>0402</x:v>
      </x:c>
      <x:c r="D213" s="6" t="str">
        <x:v>ERJ-2GEJ330X</x:v>
      </x:c>
      <x:c r="E213" s="6" t="str"/>
      <x:c r="F213" s="6" t="str"/>
      <x:c r="G213" s="6" t="n">
        <x:v>1</x:v>
      </x:c>
      <x:c r="H213" s="6" t="str">
        <x:v>Exact MPN; verify stock/package</x:v>
      </x:c>
    </x:row>
    <x:row r="214" ht="26.399999618530273" hidden="0" customHeight="1">
      <x:c r="A214" s="6" t="str">
        <x:v>33</x:v>
      </x:c>
      <x:c r="B214" s="6" t="str">
        <x:v>R30</x:v>
      </x:c>
      <x:c r="C214" s="6" t="str">
        <x:v>0402</x:v>
      </x:c>
      <x:c r="D214" s="6" t="str">
        <x:v>ERJ-2GEJ330X</x:v>
      </x:c>
      <x:c r="E214" s="6" t="str"/>
      <x:c r="F214" s="6" t="str"/>
      <x:c r="G214" s="6" t="n">
        <x:v>1</x:v>
      </x:c>
      <x:c r="H214" s="6" t="str">
        <x:v>Exact MPN; verify stock/package</x:v>
      </x:c>
    </x:row>
    <x:row r="215" ht="26.399999618530273" hidden="0" customHeight="1">
      <x:c r="A215" s="6" t="str">
        <x:v>33</x:v>
      </x:c>
      <x:c r="B215" s="6" t="str">
        <x:v>R31</x:v>
      </x:c>
      <x:c r="C215" s="6" t="str">
        <x:v>0402</x:v>
      </x:c>
      <x:c r="D215" s="6" t="str">
        <x:v>ERJ-2GEJ330X</x:v>
      </x:c>
      <x:c r="E215" s="6" t="str"/>
      <x:c r="F215" s="6" t="str"/>
      <x:c r="G215" s="6" t="n">
        <x:v>1</x:v>
      </x:c>
      <x:c r="H215" s="6" t="str">
        <x:v>Exact MPN; verify stock/package</x:v>
      </x:c>
    </x:row>
    <x:row r="216" ht="26.399999618530273" hidden="0" customHeight="1">
      <x:c r="A216" s="6" t="str">
        <x:v>33</x:v>
      </x:c>
      <x:c r="B216" s="6" t="str">
        <x:v>R32</x:v>
      </x:c>
      <x:c r="C216" s="6" t="str">
        <x:v>0402</x:v>
      </x:c>
      <x:c r="D216" s="6" t="str">
        <x:v>ERJ-2GEJ330X</x:v>
      </x:c>
      <x:c r="E216" s="6" t="str"/>
      <x:c r="F216" s="6" t="str"/>
      <x:c r="G216" s="6" t="n">
        <x:v>1</x:v>
      </x:c>
      <x:c r="H216" s="6" t="str">
        <x:v>Exact MPN; verify stock/package</x:v>
      </x:c>
    </x:row>
    <x:row r="217" ht="26.399999618530273" hidden="0" customHeight="1">
      <x:c r="A217" s="6" t="str">
        <x:v>33</x:v>
      </x:c>
      <x:c r="B217" s="6" t="str">
        <x:v>R33</x:v>
      </x:c>
      <x:c r="C217" s="6" t="str">
        <x:v>0402</x:v>
      </x:c>
      <x:c r="D217" s="6" t="str">
        <x:v>ERJ-2GEJ330X</x:v>
      </x:c>
      <x:c r="E217" s="6" t="str"/>
      <x:c r="F217" s="6" t="str"/>
      <x:c r="G217" s="6" t="n">
        <x:v>1</x:v>
      </x:c>
      <x:c r="H217" s="6" t="str">
        <x:v>Exact MPN; verify stock/package</x:v>
      </x:c>
    </x:row>
    <x:row r="218" ht="26.399999618530273" hidden="0" customHeight="1">
      <x:c r="A218" s="6" t="str">
        <x:v>33</x:v>
      </x:c>
      <x:c r="B218" s="6" t="str">
        <x:v>R34</x:v>
      </x:c>
      <x:c r="C218" s="6" t="str">
        <x:v>0402</x:v>
      </x:c>
      <x:c r="D218" s="6" t="str">
        <x:v>ERJ-2GEJ330X</x:v>
      </x:c>
      <x:c r="E218" s="6" t="str"/>
      <x:c r="F218" s="6" t="str"/>
      <x:c r="G218" s="6" t="n">
        <x:v>1</x:v>
      </x:c>
      <x:c r="H218" s="6" t="str">
        <x:v>Exact MPN; verify stock/package</x:v>
      </x:c>
    </x:row>
    <x:row r="219" ht="26.399999618530273" hidden="0" customHeight="1">
      <x:c r="A219" s="6" t="str">
        <x:v>33</x:v>
      </x:c>
      <x:c r="B219" s="6" t="str">
        <x:v>R35</x:v>
      </x:c>
      <x:c r="C219" s="6" t="str">
        <x:v>0402</x:v>
      </x:c>
      <x:c r="D219" s="6" t="str">
        <x:v>ERJ-2GEJ330X</x:v>
      </x:c>
      <x:c r="E219" s="6" t="str"/>
      <x:c r="F219" s="6" t="str"/>
      <x:c r="G219" s="6" t="n">
        <x:v>1</x:v>
      </x:c>
      <x:c r="H219" s="6" t="str">
        <x:v>Exact MPN; verify stock/package</x:v>
      </x:c>
    </x:row>
    <x:row r="220" ht="26.399999618530273" hidden="0" customHeight="1">
      <x:c r="A220" s="6" t="str">
        <x:v>33</x:v>
      </x:c>
      <x:c r="B220" s="6" t="str">
        <x:v>R36</x:v>
      </x:c>
      <x:c r="C220" s="6" t="str">
        <x:v>0402</x:v>
      </x:c>
      <x:c r="D220" s="6" t="str">
        <x:v>ERJ-2GEJ330X</x:v>
      </x:c>
      <x:c r="E220" s="6" t="str"/>
      <x:c r="F220" s="6" t="str"/>
      <x:c r="G220" s="6" t="n">
        <x:v>1</x:v>
      </x:c>
      <x:c r="H220" s="6" t="str">
        <x:v>Exact MPN; verify stock/package</x:v>
      </x:c>
    </x:row>
    <x:row r="221" ht="26.399999618530273" hidden="0" customHeight="1">
      <x:c r="A221" s="6" t="str">
        <x:v>33</x:v>
      </x:c>
      <x:c r="B221" s="6" t="str">
        <x:v>R37</x:v>
      </x:c>
      <x:c r="C221" s="6" t="str">
        <x:v>0402</x:v>
      </x:c>
      <x:c r="D221" s="6" t="str">
        <x:v>ERJ-2GEJ330X</x:v>
      </x:c>
      <x:c r="E221" s="6" t="str"/>
      <x:c r="F221" s="6" t="str"/>
      <x:c r="G221" s="6" t="n">
        <x:v>1</x:v>
      </x:c>
      <x:c r="H221" s="6" t="str">
        <x:v>Exact MPN; verify stock/package</x:v>
      </x:c>
    </x:row>
    <x:row r="222" ht="26.399999618530273" hidden="0" customHeight="1">
      <x:c r="A222" s="6" t="str">
        <x:v>33</x:v>
      </x:c>
      <x:c r="B222" s="6" t="str">
        <x:v>R38</x:v>
      </x:c>
      <x:c r="C222" s="6" t="str">
        <x:v>0402</x:v>
      </x:c>
      <x:c r="D222" s="6" t="str">
        <x:v>ERJ-2GEJ330X</x:v>
      </x:c>
      <x:c r="E222" s="6" t="str"/>
      <x:c r="F222" s="6" t="str"/>
      <x:c r="G222" s="6" t="n">
        <x:v>1</x:v>
      </x:c>
      <x:c r="H222" s="6" t="str">
        <x:v>Exact MPN; verify stock/package</x:v>
      </x:c>
    </x:row>
    <x:row r="223" ht="26.399999618530273" hidden="0" customHeight="1">
      <x:c r="A223" s="6" t="str">
        <x:v>33</x:v>
      </x:c>
      <x:c r="B223" s="6" t="str">
        <x:v>R39</x:v>
      </x:c>
      <x:c r="C223" s="6" t="str">
        <x:v>0402</x:v>
      </x:c>
      <x:c r="D223" s="6" t="str">
        <x:v>ERJ-2GEJ330X</x:v>
      </x:c>
      <x:c r="E223" s="6" t="str"/>
      <x:c r="F223" s="6" t="str"/>
      <x:c r="G223" s="6" t="n">
        <x:v>1</x:v>
      </x:c>
      <x:c r="H223" s="6" t="str">
        <x:v>Exact MPN; verify stock/package</x:v>
      </x:c>
    </x:row>
    <x:row r="224" ht="26.399999618530273" hidden="0" customHeight="1">
      <x:c r="A224" s="6" t="str">
        <x:v>33</x:v>
      </x:c>
      <x:c r="B224" s="6" t="str">
        <x:v>R40</x:v>
      </x:c>
      <x:c r="C224" s="6" t="str">
        <x:v>0402</x:v>
      </x:c>
      <x:c r="D224" s="6" t="str">
        <x:v>ERJ-2GEJ330X</x:v>
      </x:c>
      <x:c r="E224" s="6" t="str"/>
      <x:c r="F224" s="6" t="str"/>
      <x:c r="G224" s="6" t="n">
        <x:v>1</x:v>
      </x:c>
      <x:c r="H224" s="6" t="str">
        <x:v>Exact MPN; verify stock/package</x:v>
      </x:c>
    </x:row>
    <x:row r="225" ht="26.399999618530273" hidden="0" customHeight="1">
      <x:c r="A225" s="6" t="str">
        <x:v>33</x:v>
      </x:c>
      <x:c r="B225" s="6" t="str">
        <x:v>R41</x:v>
      </x:c>
      <x:c r="C225" s="6" t="str">
        <x:v>0402</x:v>
      </x:c>
      <x:c r="D225" s="6" t="str">
        <x:v>ERJ-2GEJ330X</x:v>
      </x:c>
      <x:c r="E225" s="6" t="str"/>
      <x:c r="F225" s="6" t="str"/>
      <x:c r="G225" s="6" t="n">
        <x:v>1</x:v>
      </x:c>
      <x:c r="H225" s="6" t="str">
        <x:v>Exact MPN; verify stock/package</x:v>
      </x:c>
    </x:row>
    <x:row r="226" ht="26.399999618530273" hidden="0" customHeight="1">
      <x:c r="A226" s="6" t="str">
        <x:v>33</x:v>
      </x:c>
      <x:c r="B226" s="6" t="str">
        <x:v>R42</x:v>
      </x:c>
      <x:c r="C226" s="6" t="str">
        <x:v>0402</x:v>
      </x:c>
      <x:c r="D226" s="6" t="str">
        <x:v>ERJ-2GEJ330X</x:v>
      </x:c>
      <x:c r="E226" s="6" t="str"/>
      <x:c r="F226" s="6" t="str"/>
      <x:c r="G226" s="6" t="n">
        <x:v>1</x:v>
      </x:c>
      <x:c r="H226" s="6" t="str">
        <x:v>Exact MPN; verify stock/package</x:v>
      </x:c>
    </x:row>
    <x:row r="227" ht="26.399999618530273" hidden="0" customHeight="1">
      <x:c r="A227" s="6" t="str">
        <x:v>33</x:v>
      </x:c>
      <x:c r="B227" s="6" t="str">
        <x:v>R43</x:v>
      </x:c>
      <x:c r="C227" s="6" t="str">
        <x:v>0402</x:v>
      </x:c>
      <x:c r="D227" s="6" t="str">
        <x:v>ERJ-2GEJ330X</x:v>
      </x:c>
      <x:c r="E227" s="6" t="str"/>
      <x:c r="F227" s="6" t="str"/>
      <x:c r="G227" s="6" t="n">
        <x:v>1</x:v>
      </x:c>
      <x:c r="H227" s="6" t="str">
        <x:v>Exact MPN; verify stock/package</x:v>
      </x:c>
    </x:row>
    <x:row r="228" ht="26.399999618530273" hidden="0" customHeight="1">
      <x:c r="A228" s="6" t="str">
        <x:v>33</x:v>
      </x:c>
      <x:c r="B228" s="6" t="str">
        <x:v>R44</x:v>
      </x:c>
      <x:c r="C228" s="6" t="str">
        <x:v>0402</x:v>
      </x:c>
      <x:c r="D228" s="6" t="str">
        <x:v>ERJ-2GEJ330X</x:v>
      </x:c>
      <x:c r="E228" s="6" t="str"/>
      <x:c r="F228" s="6" t="str"/>
      <x:c r="G228" s="6" t="n">
        <x:v>1</x:v>
      </x:c>
      <x:c r="H228" s="6" t="str">
        <x:v>Exact MPN; verify stock/package</x:v>
      </x:c>
    </x:row>
    <x:row r="229" ht="26.399999618530273" hidden="0" customHeight="1">
      <x:c r="A229" s="6" t="str">
        <x:v>33</x:v>
      </x:c>
      <x:c r="B229" s="6" t="str">
        <x:v>R45</x:v>
      </x:c>
      <x:c r="C229" s="6" t="str">
        <x:v>0402</x:v>
      </x:c>
      <x:c r="D229" s="6" t="str">
        <x:v>ERJ-2GEJ330X</x:v>
      </x:c>
      <x:c r="E229" s="6" t="str"/>
      <x:c r="F229" s="6" t="str"/>
      <x:c r="G229" s="6" t="n">
        <x:v>1</x:v>
      </x:c>
      <x:c r="H229" s="6" t="str">
        <x:v>Exact MPN; verify stock/package</x:v>
      </x:c>
    </x:row>
    <x:row r="230" ht="26.399999618530273" hidden="0" customHeight="1">
      <x:c r="A230" s="6" t="str">
        <x:v>33</x:v>
      </x:c>
      <x:c r="B230" s="6" t="str">
        <x:v>R46</x:v>
      </x:c>
      <x:c r="C230" s="6" t="str">
        <x:v>0402</x:v>
      </x:c>
      <x:c r="D230" s="6" t="str">
        <x:v>ERJ-2GEJ330X</x:v>
      </x:c>
      <x:c r="E230" s="6" t="str"/>
      <x:c r="F230" s="6" t="str"/>
      <x:c r="G230" s="6" t="n">
        <x:v>1</x:v>
      </x:c>
      <x:c r="H230" s="6" t="str">
        <x:v>Exact MPN; verify stock/package</x:v>
      </x:c>
    </x:row>
    <x:row r="231" ht="26.399999618530273" hidden="0" customHeight="1">
      <x:c r="A231" s="6" t="str">
        <x:v>33</x:v>
      </x:c>
      <x:c r="B231" s="6" t="str">
        <x:v>R47</x:v>
      </x:c>
      <x:c r="C231" s="6" t="str">
        <x:v>0402</x:v>
      </x:c>
      <x:c r="D231" s="6" t="str">
        <x:v>ERJ-2GEJ330X</x:v>
      </x:c>
      <x:c r="E231" s="6" t="str"/>
      <x:c r="F231" s="6" t="str"/>
      <x:c r="G231" s="6" t="n">
        <x:v>1</x:v>
      </x:c>
      <x:c r="H231" s="6" t="str">
        <x:v>Exact MPN; verify stock/package</x:v>
      </x:c>
    </x:row>
    <x:row r="232" ht="26.399999618530273" hidden="0" customHeight="1">
      <x:c r="A232" s="6" t="str">
        <x:v>33</x:v>
      </x:c>
      <x:c r="B232" s="6" t="str">
        <x:v>R48</x:v>
      </x:c>
      <x:c r="C232" s="6" t="str">
        <x:v>0402</x:v>
      </x:c>
      <x:c r="D232" s="6" t="str">
        <x:v>ERJ-2GEJ330X</x:v>
      </x:c>
      <x:c r="E232" s="6" t="str"/>
      <x:c r="F232" s="6" t="str"/>
      <x:c r="G232" s="6" t="n">
        <x:v>1</x:v>
      </x:c>
      <x:c r="H232" s="6" t="str">
        <x:v>Exact MPN; verify stock/package</x:v>
      </x:c>
    </x:row>
    <x:row r="233" ht="26.399999618530273" hidden="0" customHeight="1">
      <x:c r="A233" s="6" t="str">
        <x:v>33</x:v>
      </x:c>
      <x:c r="B233" s="6" t="str">
        <x:v>R49</x:v>
      </x:c>
      <x:c r="C233" s="6" t="str">
        <x:v>0402</x:v>
      </x:c>
      <x:c r="D233" s="6" t="str">
        <x:v>ERJ-2GEJ330X</x:v>
      </x:c>
      <x:c r="E233" s="6" t="str"/>
      <x:c r="F233" s="6" t="str"/>
      <x:c r="G233" s="6" t="n">
        <x:v>1</x:v>
      </x:c>
      <x:c r="H233" s="6" t="str">
        <x:v>Exact MPN; verify stock/package</x:v>
      </x:c>
    </x:row>
    <x:row r="234" ht="26.399999618530273" hidden="0" customHeight="1">
      <x:c r="A234" s="6" t="str">
        <x:v>33</x:v>
      </x:c>
      <x:c r="B234" s="6" t="str">
        <x:v>R50</x:v>
      </x:c>
      <x:c r="C234" s="6" t="str">
        <x:v>0402</x:v>
      </x:c>
      <x:c r="D234" s="6" t="str">
        <x:v>ERJ-2GEJ330X</x:v>
      </x:c>
      <x:c r="E234" s="6" t="str"/>
      <x:c r="F234" s="6" t="str"/>
      <x:c r="G234" s="6" t="n">
        <x:v>1</x:v>
      </x:c>
      <x:c r="H234" s="6" t="str">
        <x:v>Exact MPN; verify stock/package</x:v>
      </x:c>
    </x:row>
    <x:row r="235" ht="26.399999618530273" hidden="0" customHeight="1">
      <x:c r="A235" s="6" t="str">
        <x:v>33</x:v>
      </x:c>
      <x:c r="B235" s="6" t="str">
        <x:v>R51</x:v>
      </x:c>
      <x:c r="C235" s="6" t="str">
        <x:v>0402</x:v>
      </x:c>
      <x:c r="D235" s="6" t="str">
        <x:v>ERJ-2GEJ330X</x:v>
      </x:c>
      <x:c r="E235" s="6" t="str"/>
      <x:c r="F235" s="6" t="str"/>
      <x:c r="G235" s="6" t="n">
        <x:v>1</x:v>
      </x:c>
      <x:c r="H235" s="6" t="str">
        <x:v>Exact MPN; verify stock/package</x:v>
      </x:c>
    </x:row>
    <x:row r="236" ht="26.399999618530273" hidden="0" customHeight="1">
      <x:c r="A236" s="6" t="str">
        <x:v>33</x:v>
      </x:c>
      <x:c r="B236" s="6" t="str">
        <x:v>R52</x:v>
      </x:c>
      <x:c r="C236" s="6" t="str">
        <x:v>0402</x:v>
      </x:c>
      <x:c r="D236" s="6" t="str">
        <x:v>ERJ-2GEJ330X</x:v>
      </x:c>
      <x:c r="E236" s="6" t="str"/>
      <x:c r="F236" s="6" t="str"/>
      <x:c r="G236" s="6" t="n">
        <x:v>1</x:v>
      </x:c>
      <x:c r="H236" s="6" t="str">
        <x:v>Exact MPN; verify stock/package</x:v>
      </x:c>
    </x:row>
    <x:row r="237" ht="26.399999618530273" hidden="0" customHeight="1">
      <x:c r="A237" s="6" t="str">
        <x:v>10k</x:v>
      </x:c>
      <x:c r="B237" s="6" t="str">
        <x:v>R53</x:v>
      </x:c>
      <x:c r="C237" s="6" t="str">
        <x:v>0402</x:v>
      </x:c>
      <x:c r="D237" s="6" t="str">
        <x:v>ERJ-2RKF1002X</x:v>
      </x:c>
      <x:c r="E237" s="6" t="str"/>
      <x:c r="F237" s="6" t="str"/>
      <x:c r="G237" s="6" t="n">
        <x:v>1</x:v>
      </x:c>
      <x:c r="H237" s="6" t="str">
        <x:v>Exact MPN; verify stock/package</x:v>
      </x:c>
    </x:row>
    <x:row r="238" ht="26.399999618530273" hidden="0" customHeight="1">
      <x:c r="A238" s="6" t="str">
        <x:v>33</x:v>
      </x:c>
      <x:c r="B238" s="6" t="str">
        <x:v>R54</x:v>
      </x:c>
      <x:c r="C238" s="6" t="str">
        <x:v>0402</x:v>
      </x:c>
      <x:c r="D238" s="6" t="str">
        <x:v>ERJ-2GEJ330X</x:v>
      </x:c>
      <x:c r="E238" s="6" t="str"/>
      <x:c r="F238" s="6" t="str"/>
      <x:c r="G238" s="6" t="n">
        <x:v>1</x:v>
      </x:c>
      <x:c r="H238" s="6" t="str">
        <x:v>Exact MPN; verify stock/package</x:v>
      </x:c>
    </x:row>
    <x:row r="239" ht="26.399999618530273" hidden="0" customHeight="1">
      <x:c r="A239" s="6" t="str">
        <x:v>33</x:v>
      </x:c>
      <x:c r="B239" s="6" t="str">
        <x:v>R55</x:v>
      </x:c>
      <x:c r="C239" s="6" t="str">
        <x:v>0402</x:v>
      </x:c>
      <x:c r="D239" s="6" t="str">
        <x:v>ERJ-2GEJ330X</x:v>
      </x:c>
      <x:c r="E239" s="6" t="str"/>
      <x:c r="F239" s="6" t="str"/>
      <x:c r="G239" s="6" t="n">
        <x:v>1</x:v>
      </x:c>
      <x:c r="H239" s="6" t="str">
        <x:v>Exact MPN; verify stock/package</x:v>
      </x:c>
    </x:row>
    <x:row r="240" ht="26.399999618530273" hidden="0" customHeight="1">
      <x:c r="A240" s="6" t="str">
        <x:v>33</x:v>
      </x:c>
      <x:c r="B240" s="6" t="str">
        <x:v>R56</x:v>
      </x:c>
      <x:c r="C240" s="6" t="str">
        <x:v>0402</x:v>
      </x:c>
      <x:c r="D240" s="6" t="str">
        <x:v>ERJ-2GEJ330X</x:v>
      </x:c>
      <x:c r="E240" s="6" t="str"/>
      <x:c r="F240" s="6" t="str"/>
      <x:c r="G240" s="6" t="n">
        <x:v>1</x:v>
      </x:c>
      <x:c r="H240" s="6" t="str">
        <x:v>Exact MPN; verify stock/package</x:v>
      </x:c>
    </x:row>
    <x:row r="241" ht="26.399999618530273" hidden="0" customHeight="1">
      <x:c r="A241" s="6" t="str">
        <x:v>33</x:v>
      </x:c>
      <x:c r="B241" s="6" t="str">
        <x:v>R57</x:v>
      </x:c>
      <x:c r="C241" s="6" t="str">
        <x:v>0402</x:v>
      </x:c>
      <x:c r="D241" s="6" t="str">
        <x:v>ERJ-2GEJ330X</x:v>
      </x:c>
      <x:c r="E241" s="6" t="str"/>
      <x:c r="F241" s="6" t="str"/>
      <x:c r="G241" s="6" t="n">
        <x:v>1</x:v>
      </x:c>
      <x:c r="H241" s="6" t="str">
        <x:v>Exact MPN; verify stock/package</x:v>
      </x:c>
    </x:row>
    <x:row r="242" ht="26.399999618530273" hidden="0" customHeight="1">
      <x:c r="A242" s="6" t="str">
        <x:v>33</x:v>
      </x:c>
      <x:c r="B242" s="6" t="str">
        <x:v>R58</x:v>
      </x:c>
      <x:c r="C242" s="6" t="str">
        <x:v>0402</x:v>
      </x:c>
      <x:c r="D242" s="6" t="str">
        <x:v>ERJ-2GEJ330X</x:v>
      </x:c>
      <x:c r="E242" s="6" t="str"/>
      <x:c r="F242" s="6" t="str"/>
      <x:c r="G242" s="6" t="n">
        <x:v>1</x:v>
      </x:c>
      <x:c r="H242" s="6" t="str">
        <x:v>Exact MPN; verify stock/package</x:v>
      </x:c>
    </x:row>
    <x:row r="243" ht="26.399999618530273" hidden="0" customHeight="1">
      <x:c r="A243" s="6" t="str">
        <x:v>0</x:v>
      </x:c>
      <x:c r="B243" s="6" t="str">
        <x:v>R59</x:v>
      </x:c>
      <x:c r="C243" s="6" t="str">
        <x:v>0402</x:v>
      </x:c>
      <x:c r="D243" s="6" t="str">
        <x:v>ERJ-2GE0R00X</x:v>
      </x:c>
      <x:c r="E243" s="6" t="str"/>
      <x:c r="F243" s="6" t="str"/>
      <x:c r="G243" s="6" t="n">
        <x:v>1</x:v>
      </x:c>
      <x:c r="H243" s="6" t="str">
        <x:v>Exact MPN; verify stock/package</x:v>
      </x:c>
    </x:row>
    <x:row r="244" ht="26.399999618530273" hidden="0" customHeight="1">
      <x:c r="A244" s="6" t="str">
        <x:v>10k</x:v>
      </x:c>
      <x:c r="B244" s="6" t="str">
        <x:v>R60</x:v>
      </x:c>
      <x:c r="C244" s="6" t="str">
        <x:v>0402</x:v>
      </x:c>
      <x:c r="D244" s="6" t="str">
        <x:v>ERJ-2RKF1002X</x:v>
      </x:c>
      <x:c r="E244" s="6" t="str"/>
      <x:c r="F244" s="6" t="str"/>
      <x:c r="G244" s="6" t="n">
        <x:v>1</x:v>
      </x:c>
      <x:c r="H244" s="6" t="str">
        <x:v>Exact MPN; verify stock/package</x:v>
      </x:c>
    </x:row>
    <x:row r="245" ht="26.399999618530273" hidden="0" customHeight="1">
      <x:c r="A245" s="6" t="str">
        <x:v>33</x:v>
      </x:c>
      <x:c r="B245" s="6" t="str">
        <x:v>R62</x:v>
      </x:c>
      <x:c r="C245" s="6" t="str">
        <x:v>0402</x:v>
      </x:c>
      <x:c r="D245" s="6" t="str">
        <x:v>ERJ-2GEJ330X</x:v>
      </x:c>
      <x:c r="E245" s="6" t="str"/>
      <x:c r="F245" s="6" t="str"/>
      <x:c r="G245" s="6" t="n">
        <x:v>1</x:v>
      </x:c>
      <x:c r="H245" s="6" t="str">
        <x:v>Exact MPN; verify stock/package</x:v>
      </x:c>
    </x:row>
    <x:row r="246" ht="26.399999618530273" hidden="0" customHeight="1">
      <x:c r="A246" s="6" t="str">
        <x:v>33</x:v>
      </x:c>
      <x:c r="B246" s="6" t="str">
        <x:v>R63</x:v>
      </x:c>
      <x:c r="C246" s="6" t="str">
        <x:v>0402</x:v>
      </x:c>
      <x:c r="D246" s="6" t="str">
        <x:v>ERJ-2GEJ330X</x:v>
      </x:c>
      <x:c r="E246" s="6" t="str"/>
      <x:c r="F246" s="6" t="str"/>
      <x:c r="G246" s="6" t="n">
        <x:v>1</x:v>
      </x:c>
      <x:c r="H246" s="6" t="str">
        <x:v>Exact MPN; verify stock/package</x:v>
      </x:c>
    </x:row>
    <x:row r="247" ht="26.399999618530273" hidden="0" customHeight="1">
      <x:c r="A247" s="6" t="str">
        <x:v>33</x:v>
      </x:c>
      <x:c r="B247" s="6" t="str">
        <x:v>R65</x:v>
      </x:c>
      <x:c r="C247" s="6" t="str">
        <x:v>0402</x:v>
      </x:c>
      <x:c r="D247" s="6" t="str">
        <x:v>ERJ-2GEJ330X</x:v>
      </x:c>
      <x:c r="E247" s="6" t="str"/>
      <x:c r="F247" s="6" t="str"/>
      <x:c r="G247" s="6" t="n">
        <x:v>1</x:v>
      </x:c>
      <x:c r="H247" s="6" t="str">
        <x:v>Exact MPN; verify stock/package</x:v>
      </x:c>
    </x:row>
    <x:row r="248" ht="26.399999618530273" hidden="0" customHeight="1">
      <x:c r="A248" s="6" t="str">
        <x:v>10k</x:v>
      </x:c>
      <x:c r="B248" s="6" t="str">
        <x:v>R66</x:v>
      </x:c>
      <x:c r="C248" s="6" t="str">
        <x:v>0402</x:v>
      </x:c>
      <x:c r="D248" s="6" t="str">
        <x:v>ERJ-2RKF1002X</x:v>
      </x:c>
      <x:c r="E248" s="6" t="str"/>
      <x:c r="F248" s="6" t="str"/>
      <x:c r="G248" s="6" t="n">
        <x:v>1</x:v>
      </x:c>
      <x:c r="H248" s="6" t="str">
        <x:v>Exact MPN; verify stock/package</x:v>
      </x:c>
    </x:row>
    <x:row r="249" ht="26.399999618530273" hidden="0" customHeight="1">
      <x:c r="A249" s="6" t="str">
        <x:v>10k</x:v>
      </x:c>
      <x:c r="B249" s="6" t="str">
        <x:v>R67</x:v>
      </x:c>
      <x:c r="C249" s="6" t="str">
        <x:v>0402</x:v>
      </x:c>
      <x:c r="D249" s="6" t="str">
        <x:v>ERJ-2RKF1002X</x:v>
      </x:c>
      <x:c r="E249" s="6" t="str"/>
      <x:c r="F249" s="6" t="str"/>
      <x:c r="G249" s="6" t="n">
        <x:v>1</x:v>
      </x:c>
      <x:c r="H249" s="6" t="str">
        <x:v>Exact MPN; verify stock/package</x:v>
      </x:c>
    </x:row>
    <x:row r="250" ht="26.399999618530273" hidden="0" customHeight="1">
      <x:c r="A250" s="6" t="str">
        <x:v>1k</x:v>
      </x:c>
      <x:c r="B250" s="6" t="str">
        <x:v>R68</x:v>
      </x:c>
      <x:c r="C250" s="6" t="str">
        <x:v>0402</x:v>
      </x:c>
      <x:c r="D250" s="6" t="str">
        <x:v>ERJ-2RKF1001X</x:v>
      </x:c>
      <x:c r="E250" s="6" t="str"/>
      <x:c r="F250" s="6" t="str"/>
      <x:c r="G250" s="6" t="n">
        <x:v>1</x:v>
      </x:c>
      <x:c r="H250" s="6" t="str">
        <x:v>Exact MPN; verify stock/package</x:v>
      </x:c>
    </x:row>
    <x:row r="251" ht="26.399999618530273" hidden="0" customHeight="1">
      <x:c r="A251" s="6" t="str">
        <x:v>1k</x:v>
      </x:c>
      <x:c r="B251" s="6" t="str">
        <x:v>R69</x:v>
      </x:c>
      <x:c r="C251" s="6" t="str">
        <x:v>0402</x:v>
      </x:c>
      <x:c r="D251" s="6" t="str">
        <x:v>ERJ-2RKF1001X</x:v>
      </x:c>
      <x:c r="E251" s="6" t="str"/>
      <x:c r="F251" s="6" t="str"/>
      <x:c r="G251" s="6" t="n">
        <x:v>1</x:v>
      </x:c>
      <x:c r="H251" s="6" t="str">
        <x:v>Exact MPN; verify stock/package</x:v>
      </x:c>
    </x:row>
    <x:row r="252" ht="26.399999618530273" hidden="0" customHeight="1">
      <x:c r="A252" s="6" t="str">
        <x:v>1k</x:v>
      </x:c>
      <x:c r="B252" s="6" t="str">
        <x:v>R70</x:v>
      </x:c>
      <x:c r="C252" s="6" t="str">
        <x:v>0402</x:v>
      </x:c>
      <x:c r="D252" s="6" t="str">
        <x:v>ERJ-2RKF1001X</x:v>
      </x:c>
      <x:c r="E252" s="6" t="str"/>
      <x:c r="F252" s="6" t="str"/>
      <x:c r="G252" s="6" t="n">
        <x:v>1</x:v>
      </x:c>
      <x:c r="H252" s="6" t="str">
        <x:v>Exact MPN; verify stock/package</x:v>
      </x:c>
    </x:row>
    <x:row r="253" ht="26.399999618530273" hidden="0" customHeight="1">
      <x:c r="A253" s="6" t="str">
        <x:v>0</x:v>
      </x:c>
      <x:c r="B253" s="6" t="str">
        <x:v>R71</x:v>
      </x:c>
      <x:c r="C253" s="6" t="str">
        <x:v>0402</x:v>
      </x:c>
      <x:c r="D253" s="6" t="str">
        <x:v>ERJ-2GE0R00X</x:v>
      </x:c>
      <x:c r="E253" s="6" t="str"/>
      <x:c r="F253" s="6" t="str"/>
      <x:c r="G253" s="6" t="n">
        <x:v>1</x:v>
      </x:c>
      <x:c r="H253" s="6" t="str">
        <x:v>Exact MPN; verify stock/package</x:v>
      </x:c>
    </x:row>
    <x:row r="254" ht="26.399999618530273" hidden="0" customHeight="1">
      <x:c r="A254" s="6" t="str">
        <x:v>10k</x:v>
      </x:c>
      <x:c r="B254" s="6" t="str">
        <x:v>R72</x:v>
      </x:c>
      <x:c r="C254" s="6" t="str">
        <x:v>0402</x:v>
      </x:c>
      <x:c r="D254" s="6" t="str">
        <x:v>ERJ-2RKF1002X</x:v>
      </x:c>
      <x:c r="E254" s="6" t="str"/>
      <x:c r="F254" s="6" t="str"/>
      <x:c r="G254" s="6" t="n">
        <x:v>1</x:v>
      </x:c>
      <x:c r="H254" s="6" t="str">
        <x:v>Exact MPN; verify stock/package</x:v>
      </x:c>
    </x:row>
    <x:row r="255" ht="26.399999618530273" hidden="0" customHeight="1">
      <x:c r="A255" s="6" t="str">
        <x:v>1k</x:v>
      </x:c>
      <x:c r="B255" s="6" t="str">
        <x:v>R73</x:v>
      </x:c>
      <x:c r="C255" s="6" t="str">
        <x:v>0402</x:v>
      </x:c>
      <x:c r="D255" s="6" t="str">
        <x:v>ERJ-2RKF1001X</x:v>
      </x:c>
      <x:c r="E255" s="6" t="str"/>
      <x:c r="F255" s="6" t="str"/>
      <x:c r="G255" s="6" t="n">
        <x:v>1</x:v>
      </x:c>
      <x:c r="H255" s="6" t="str">
        <x:v>Exact MPN; verify stock/package</x:v>
      </x:c>
    </x:row>
    <x:row r="256" ht="26.399999618530273" hidden="0" customHeight="1">
      <x:c r="A256" s="6" t="str">
        <x:v>49.9</x:v>
      </x:c>
      <x:c r="B256" s="6" t="str">
        <x:v>R74</x:v>
      </x:c>
      <x:c r="C256" s="6" t="str">
        <x:v>0402</x:v>
      </x:c>
      <x:c r="D256" s="6" t="str">
        <x:v>ERJ-2RKF49R9X</x:v>
      </x:c>
      <x:c r="E256" s="6" t="str"/>
      <x:c r="F256" s="6" t="str"/>
      <x:c r="G256" s="6" t="n">
        <x:v>1</x:v>
      </x:c>
      <x:c r="H256" s="6" t="str">
        <x:v>Exact MPN; verify stock/package</x:v>
      </x:c>
    </x:row>
    <x:row r="257" ht="26.399999618530273" hidden="0" customHeight="1">
      <x:c r="A257" s="6" t="str">
        <x:v>49.9</x:v>
      </x:c>
      <x:c r="B257" s="6" t="str">
        <x:v>R75</x:v>
      </x:c>
      <x:c r="C257" s="6" t="str">
        <x:v>0402</x:v>
      </x:c>
      <x:c r="D257" s="6" t="str">
        <x:v>ERJ-2RKF49R9X</x:v>
      </x:c>
      <x:c r="E257" s="6" t="str"/>
      <x:c r="F257" s="6" t="str"/>
      <x:c r="G257" s="6" t="n">
        <x:v>1</x:v>
      </x:c>
      <x:c r="H257" s="6" t="str">
        <x:v>Exact MPN; verify stock/package</x:v>
      </x:c>
    </x:row>
    <x:row r="258" ht="26.399999618530273" hidden="0" customHeight="1">
      <x:c r="A258" s="6" t="str">
        <x:v>49.9</x:v>
      </x:c>
      <x:c r="B258" s="6" t="str">
        <x:v>R76</x:v>
      </x:c>
      <x:c r="C258" s="6" t="str">
        <x:v>0402</x:v>
      </x:c>
      <x:c r="D258" s="6" t="str">
        <x:v>ERJ-2RKF49R9X</x:v>
      </x:c>
      <x:c r="E258" s="6" t="str"/>
      <x:c r="F258" s="6" t="str"/>
      <x:c r="G258" s="6" t="n">
        <x:v>1</x:v>
      </x:c>
      <x:c r="H258" s="6" t="str">
        <x:v>Exact MPN; verify stock/package</x:v>
      </x:c>
    </x:row>
    <x:row r="259" ht="26.399999618530273" hidden="0" customHeight="1">
      <x:c r="A259" s="6" t="str">
        <x:v>49.9</x:v>
      </x:c>
      <x:c r="B259" s="6" t="str">
        <x:v>R77</x:v>
      </x:c>
      <x:c r="C259" s="6" t="str">
        <x:v>0402</x:v>
      </x:c>
      <x:c r="D259" s="6" t="str">
        <x:v>ERJ-2RKF49R9X</x:v>
      </x:c>
      <x:c r="E259" s="6" t="str"/>
      <x:c r="F259" s="6" t="str"/>
      <x:c r="G259" s="6" t="n">
        <x:v>1</x:v>
      </x:c>
      <x:c r="H259" s="6" t="str">
        <x:v>Exact MPN; verify stock/package</x:v>
      </x:c>
    </x:row>
    <x:row r="260" ht="26.399999618530273" hidden="0" customHeight="1">
      <x:c r="A260" s="6" t="str">
        <x:v>10k</x:v>
      </x:c>
      <x:c r="B260" s="6" t="str">
        <x:v>R78</x:v>
      </x:c>
      <x:c r="C260" s="6" t="str">
        <x:v>0402</x:v>
      </x:c>
      <x:c r="D260" s="6" t="str">
        <x:v>ERJ-2RKF1002X</x:v>
      </x:c>
      <x:c r="E260" s="6" t="str"/>
      <x:c r="F260" s="6" t="str"/>
      <x:c r="G260" s="6" t="n">
        <x:v>1</x:v>
      </x:c>
      <x:c r="H260" s="6" t="str">
        <x:v>Exact MPN; verify stock/package</x:v>
      </x:c>
    </x:row>
    <x:row r="261" ht="26.399999618530273" hidden="0" customHeight="1">
      <x:c r="A261" s="6" t="str">
        <x:v>1.5k</x:v>
      </x:c>
      <x:c r="B261" s="6" t="str">
        <x:v>R79</x:v>
      </x:c>
      <x:c r="C261" s="6" t="str">
        <x:v>0402</x:v>
      </x:c>
      <x:c r="D261" s="6" t="str">
        <x:v>ERJ-2RKF1501X</x:v>
      </x:c>
      <x:c r="E261" s="6" t="str"/>
      <x:c r="F261" s="6" t="str"/>
      <x:c r="G261" s="6" t="n">
        <x:v>1</x:v>
      </x:c>
      <x:c r="H261" s="6" t="str">
        <x:v>Exact MPN; verify stock/package</x:v>
      </x:c>
    </x:row>
    <x:row r="262" ht="26.399999618530273" hidden="0" customHeight="1">
      <x:c r="A262" s="6" t="str">
        <x:v>10k</x:v>
      </x:c>
      <x:c r="B262" s="6" t="str">
        <x:v>R80</x:v>
      </x:c>
      <x:c r="C262" s="6" t="str">
        <x:v>0402</x:v>
      </x:c>
      <x:c r="D262" s="6" t="str">
        <x:v>ERJ-2RKF1002X</x:v>
      </x:c>
      <x:c r="E262" s="6" t="str"/>
      <x:c r="F262" s="6" t="str"/>
      <x:c r="G262" s="6" t="n">
        <x:v>1</x:v>
      </x:c>
      <x:c r="H262" s="6" t="str">
        <x:v>Exact MPN; verify stock/package</x:v>
      </x:c>
    </x:row>
    <x:row r="263" ht="26.399999618530273" hidden="0" customHeight="1">
      <x:c r="A263" s="6" t="str">
        <x:v>10k</x:v>
      </x:c>
      <x:c r="B263" s="6" t="str">
        <x:v>R81</x:v>
      </x:c>
      <x:c r="C263" s="6" t="str">
        <x:v>0402</x:v>
      </x:c>
      <x:c r="D263" s="6" t="str">
        <x:v>ERJ-2RKF1002X</x:v>
      </x:c>
      <x:c r="E263" s="6" t="str"/>
      <x:c r="F263" s="6" t="str"/>
      <x:c r="G263" s="6" t="n">
        <x:v>1</x:v>
      </x:c>
      <x:c r="H263" s="6" t="str">
        <x:v>Exact MPN; verify stock/package</x:v>
      </x:c>
    </x:row>
    <x:row r="264" ht="26.399999618530273" hidden="0" customHeight="1">
      <x:c r="A264" s="6" t="str">
        <x:v>10k</x:v>
      </x:c>
      <x:c r="B264" s="6" t="str">
        <x:v>R82</x:v>
      </x:c>
      <x:c r="C264" s="6" t="str">
        <x:v>0402</x:v>
      </x:c>
      <x:c r="D264" s="6" t="str">
        <x:v>ERJ-2RKF1002X</x:v>
      </x:c>
      <x:c r="E264" s="6" t="str"/>
      <x:c r="F264" s="6" t="str"/>
      <x:c r="G264" s="6" t="n">
        <x:v>1</x:v>
      </x:c>
      <x:c r="H264" s="6" t="str">
        <x:v>Exact MPN; verify stock/package</x:v>
      </x:c>
    </x:row>
    <x:row r="265" ht="26.399999618530273" hidden="0" customHeight="1">
      <x:c r="A265" s="6" t="str">
        <x:v>33</x:v>
      </x:c>
      <x:c r="B265" s="6" t="str">
        <x:v>R83</x:v>
      </x:c>
      <x:c r="C265" s="6" t="str">
        <x:v>0402</x:v>
      </x:c>
      <x:c r="D265" s="6" t="str">
        <x:v>ERJ-2GEJ330X</x:v>
      </x:c>
      <x:c r="E265" s="6" t="str"/>
      <x:c r="F265" s="6" t="str"/>
      <x:c r="G265" s="6" t="n">
        <x:v>1</x:v>
      </x:c>
      <x:c r="H265" s="6" t="str">
        <x:v>Exact MPN; verify stock/package</x:v>
      </x:c>
    </x:row>
    <x:row r="266" ht="26.399999618530273" hidden="0" customHeight="1">
      <x:c r="A266" s="6" t="str">
        <x:v>33</x:v>
      </x:c>
      <x:c r="B266" s="6" t="str">
        <x:v>R84</x:v>
      </x:c>
      <x:c r="C266" s="6" t="str">
        <x:v>0402</x:v>
      </x:c>
      <x:c r="D266" s="6" t="str">
        <x:v>ERJ-2GEJ330X</x:v>
      </x:c>
      <x:c r="E266" s="6" t="str"/>
      <x:c r="F266" s="6" t="str"/>
      <x:c r="G266" s="6" t="n">
        <x:v>1</x:v>
      </x:c>
      <x:c r="H266" s="6" t="str">
        <x:v>Exact MPN; verify stock/package</x:v>
      </x:c>
    </x:row>
    <x:row r="267" ht="26.399999618530273" hidden="0" customHeight="1">
      <x:c r="A267" s="6" t="str">
        <x:v>10k</x:v>
      </x:c>
      <x:c r="B267" s="6" t="str">
        <x:v>R85</x:v>
      </x:c>
      <x:c r="C267" s="6" t="str">
        <x:v>0402</x:v>
      </x:c>
      <x:c r="D267" s="6" t="str">
        <x:v>ERJ-2RKF1002X</x:v>
      </x:c>
      <x:c r="E267" s="6" t="str"/>
      <x:c r="F267" s="6" t="str"/>
      <x:c r="G267" s="6" t="n">
        <x:v>1</x:v>
      </x:c>
      <x:c r="H267" s="6" t="str">
        <x:v>Exact MPN; verify stock/package</x:v>
      </x:c>
    </x:row>
    <x:row r="268" ht="26.399999618530273" hidden="0" customHeight="1">
      <x:c r="A268" s="6" t="str">
        <x:v>12.1k</x:v>
      </x:c>
      <x:c r="B268" s="6" t="str">
        <x:v>R86</x:v>
      </x:c>
      <x:c r="C268" s="6" t="str">
        <x:v>0402</x:v>
      </x:c>
      <x:c r="D268" s="6" t="str">
        <x:v>ERJ-2RKF1212X</x:v>
      </x:c>
      <x:c r="E268" s="6" t="str"/>
      <x:c r="F268" s="6" t="str"/>
      <x:c r="G268" s="6" t="n">
        <x:v>1</x:v>
      </x:c>
      <x:c r="H268" s="6" t="str">
        <x:v>Exact MPN; verify stock/package</x:v>
      </x:c>
    </x:row>
    <x:row r="269" ht="26.399999618530273" hidden="0" customHeight="1">
      <x:c r="A269" s="6" t="str">
        <x:v>33</x:v>
      </x:c>
      <x:c r="B269" s="6" t="str">
        <x:v>R87</x:v>
      </x:c>
      <x:c r="C269" s="6" t="str">
        <x:v>0402</x:v>
      </x:c>
      <x:c r="D269" s="6" t="str">
        <x:v>ERJ-2GEJ330X</x:v>
      </x:c>
      <x:c r="E269" s="6" t="str"/>
      <x:c r="F269" s="6" t="str"/>
      <x:c r="G269" s="6" t="n">
        <x:v>1</x:v>
      </x:c>
      <x:c r="H269" s="6" t="str">
        <x:v>Exact MPN; verify stock/package</x:v>
      </x:c>
    </x:row>
    <x:row r="270" ht="26.399999618530273" hidden="0" customHeight="1">
      <x:c r="A270" s="6" t="str">
        <x:v>75</x:v>
      </x:c>
      <x:c r="B270" s="6" t="str">
        <x:v>R88</x:v>
      </x:c>
      <x:c r="C270" s="6" t="str">
        <x:v>0603</x:v>
      </x:c>
      <x:c r="D270" s="6" t="str">
        <x:v>ERJ-3EKF75R0V</x:v>
      </x:c>
      <x:c r="E270" s="6" t="str"/>
      <x:c r="F270" s="6" t="str"/>
      <x:c r="G270" s="6" t="n">
        <x:v>1</x:v>
      </x:c>
      <x:c r="H270" s="6" t="str">
        <x:v>Exact MPN; verify stock/package</x:v>
      </x:c>
    </x:row>
    <x:row r="271" ht="26.399999618530273" hidden="0" customHeight="1">
      <x:c r="A271" s="6" t="str">
        <x:v>75</x:v>
      </x:c>
      <x:c r="B271" s="6" t="str">
        <x:v>R89</x:v>
      </x:c>
      <x:c r="C271" s="6" t="str">
        <x:v>0603</x:v>
      </x:c>
      <x:c r="D271" s="6" t="str">
        <x:v>ERJ-3EKF75R0V</x:v>
      </x:c>
      <x:c r="E271" s="6" t="str"/>
      <x:c r="F271" s="6" t="str"/>
      <x:c r="G271" s="6" t="n">
        <x:v>1</x:v>
      </x:c>
      <x:c r="H271" s="6" t="str">
        <x:v>Exact MPN; verify stock/package</x:v>
      </x:c>
    </x:row>
    <x:row r="272" ht="26.399999618530273" hidden="0" customHeight="1">
      <x:c r="A272" s="6" t="str">
        <x:v>75</x:v>
      </x:c>
      <x:c r="B272" s="6" t="str">
        <x:v>R90</x:v>
      </x:c>
      <x:c r="C272" s="6" t="str">
        <x:v>0603</x:v>
      </x:c>
      <x:c r="D272" s="6" t="str">
        <x:v>ERJ-3EKF75R0V</x:v>
      </x:c>
      <x:c r="E272" s="6" t="str"/>
      <x:c r="F272" s="6" t="str"/>
      <x:c r="G272" s="6" t="n">
        <x:v>1</x:v>
      </x:c>
      <x:c r="H272" s="6" t="str">
        <x:v>Exact MPN; verify stock/package</x:v>
      </x:c>
    </x:row>
    <x:row r="273" ht="26.399999618530273" hidden="0" customHeight="1">
      <x:c r="A273" s="6" t="str">
        <x:v>75</x:v>
      </x:c>
      <x:c r="B273" s="6" t="str">
        <x:v>R91</x:v>
      </x:c>
      <x:c r="C273" s="6" t="str">
        <x:v>0603</x:v>
      </x:c>
      <x:c r="D273" s="6" t="str">
        <x:v>ERJ-3EKF75R0V</x:v>
      </x:c>
      <x:c r="E273" s="6" t="str"/>
      <x:c r="F273" s="6" t="str"/>
      <x:c r="G273" s="6" t="n">
        <x:v>1</x:v>
      </x:c>
      <x:c r="H273" s="6" t="str">
        <x:v>Exact MPN; verify stock/package</x:v>
      </x:c>
    </x:row>
    <x:row r="274" ht="26.399999618530273" hidden="0" customHeight="1">
      <x:c r="A274" s="6" t="str">
        <x:v>0</x:v>
      </x:c>
      <x:c r="B274" s="6" t="str">
        <x:v>R92</x:v>
      </x:c>
      <x:c r="C274" s="6" t="str">
        <x:v>0402</x:v>
      </x:c>
      <x:c r="D274" s="6" t="str">
        <x:v>ERJ-2GE0R00X</x:v>
      </x:c>
      <x:c r="E274" s="6" t="str"/>
      <x:c r="F274" s="6" t="str"/>
      <x:c r="G274" s="6" t="n">
        <x:v>1</x:v>
      </x:c>
      <x:c r="H274" s="6" t="str">
        <x:v>Exact MPN; verify stock/package</x:v>
      </x:c>
    </x:row>
    <x:row r="275" ht="26.399999618530273" hidden="0" customHeight="1">
      <x:c r="A275" s="6" t="str">
        <x:v>33</x:v>
      </x:c>
      <x:c r="B275" s="6" t="str">
        <x:v>R93</x:v>
      </x:c>
      <x:c r="C275" s="6" t="str">
        <x:v>0402</x:v>
      </x:c>
      <x:c r="D275" s="6" t="str">
        <x:v>ERJ-2GEJ330X</x:v>
      </x:c>
      <x:c r="E275" s="6" t="str"/>
      <x:c r="F275" s="6" t="str"/>
      <x:c r="G275" s="6" t="n">
        <x:v>1</x:v>
      </x:c>
      <x:c r="H275" s="6" t="str">
        <x:v>Exact MPN; verify stock/package</x:v>
      </x:c>
    </x:row>
    <x:row r="276" ht="26.399999618530273" hidden="0" customHeight="1">
      <x:c r="A276" s="6" t="str">
        <x:v>330</x:v>
      </x:c>
      <x:c r="B276" s="6" t="str">
        <x:v>R94</x:v>
      </x:c>
      <x:c r="C276" s="6" t="str">
        <x:v>0402</x:v>
      </x:c>
      <x:c r="D276" s="6" t="str">
        <x:v>ERJ-2GEJ331X</x:v>
      </x:c>
      <x:c r="E276" s="6" t="str"/>
      <x:c r="F276" s="6" t="str"/>
      <x:c r="G276" s="6" t="n">
        <x:v>1</x:v>
      </x:c>
      <x:c r="H276" s="6" t="str">
        <x:v>Exact MPN; verify stock/package</x:v>
      </x:c>
    </x:row>
    <x:row r="277" ht="26.399999618530273" hidden="0" customHeight="1">
      <x:c r="A277" s="6" t="str">
        <x:v>10k</x:v>
      </x:c>
      <x:c r="B277" s="6" t="str">
        <x:v>R95</x:v>
      </x:c>
      <x:c r="C277" s="6" t="str">
        <x:v>0402</x:v>
      </x:c>
      <x:c r="D277" s="6" t="str">
        <x:v>ERJ-2RKF1002X</x:v>
      </x:c>
      <x:c r="E277" s="6" t="str"/>
      <x:c r="F277" s="6" t="str"/>
      <x:c r="G277" s="6" t="n">
        <x:v>1</x:v>
      </x:c>
      <x:c r="H277" s="6" t="str">
        <x:v>Exact MPN; verify stock/package</x:v>
      </x:c>
    </x:row>
    <x:row r="278" ht="26.399999618530273" hidden="0" customHeight="1">
      <x:c r="A278" s="6" t="str">
        <x:v>330</x:v>
      </x:c>
      <x:c r="B278" s="6" t="str">
        <x:v>R96</x:v>
      </x:c>
      <x:c r="C278" s="6" t="str">
        <x:v>0402</x:v>
      </x:c>
      <x:c r="D278" s="6" t="str">
        <x:v>ERJ-2GEJ331X</x:v>
      </x:c>
      <x:c r="E278" s="6" t="str"/>
      <x:c r="F278" s="6" t="str"/>
      <x:c r="G278" s="6" t="n">
        <x:v>1</x:v>
      </x:c>
      <x:c r="H278" s="6" t="str">
        <x:v>Exact MPN; verify stock/package</x:v>
      </x:c>
    </x:row>
    <x:row r="279" ht="26.399999618530273" hidden="0" customHeight="1">
      <x:c r="A279" s="6" t="str">
        <x:v>10k</x:v>
      </x:c>
      <x:c r="B279" s="6" t="str">
        <x:v>R97</x:v>
      </x:c>
      <x:c r="C279" s="6" t="str">
        <x:v>0402</x:v>
      </x:c>
      <x:c r="D279" s="6" t="str">
        <x:v>ERJ-2RKF1002X</x:v>
      </x:c>
      <x:c r="E279" s="6" t="str"/>
      <x:c r="F279" s="6" t="str"/>
      <x:c r="G279" s="6" t="n">
        <x:v>1</x:v>
      </x:c>
      <x:c r="H279" s="6" t="str">
        <x:v>Exact MPN; verify stock/package</x:v>
      </x:c>
    </x:row>
    <x:row r="280" ht="26.399999618530273" hidden="0" customHeight="1">
      <x:c r="A280" s="6" t="str">
        <x:v>0</x:v>
      </x:c>
      <x:c r="B280" s="6" t="str">
        <x:v>R99</x:v>
      </x:c>
      <x:c r="C280" s="6" t="str">
        <x:v>0402</x:v>
      </x:c>
      <x:c r="D280" s="6" t="str">
        <x:v>ERJ-2GE0R00X</x:v>
      </x:c>
      <x:c r="E280" s="6" t="str"/>
      <x:c r="F280" s="6" t="str"/>
      <x:c r="G280" s="6" t="n">
        <x:v>1</x:v>
      </x:c>
      <x:c r="H280" s="6" t="str">
        <x:v>Exact MPN; verify stock/package</x:v>
      </x:c>
    </x:row>
    <x:row r="281" ht="26.399999618530273" hidden="0" customHeight="1">
      <x:c r="A281" s="6" t="str">
        <x:v>0</x:v>
      </x:c>
      <x:c r="B281" s="6" t="str">
        <x:v>R100</x:v>
      </x:c>
      <x:c r="C281" s="6" t="str">
        <x:v>0402</x:v>
      </x:c>
      <x:c r="D281" s="6" t="str">
        <x:v>ERJ-2GE0R00X</x:v>
      </x:c>
      <x:c r="E281" s="6" t="str"/>
      <x:c r="F281" s="6" t="str"/>
      <x:c r="G281" s="6" t="n">
        <x:v>1</x:v>
      </x:c>
      <x:c r="H281" s="6" t="str">
        <x:v>Exact MPN; verify stock/package</x:v>
      </x:c>
    </x:row>
    <x:row r="282" ht="26.399999618530273" hidden="0" customHeight="1">
      <x:c r="A282" s="6" t="str">
        <x:v>0</x:v>
      </x:c>
      <x:c r="B282" s="6" t="str">
        <x:v>R101</x:v>
      </x:c>
      <x:c r="C282" s="6" t="str">
        <x:v>0402</x:v>
      </x:c>
      <x:c r="D282" s="6" t="str">
        <x:v>ERJ-2GE0R00X</x:v>
      </x:c>
      <x:c r="E282" s="6" t="str"/>
      <x:c r="F282" s="6" t="str"/>
      <x:c r="G282" s="6" t="n">
        <x:v>1</x:v>
      </x:c>
      <x:c r="H282" s="6" t="str">
        <x:v>Exact MPN; verify stock/package</x:v>
      </x:c>
    </x:row>
    <x:row r="283" ht="26.399999618530273" hidden="0" customHeight="1">
      <x:c r="A283" s="6" t="str">
        <x:v>8.06k</x:v>
      </x:c>
      <x:c r="B283" s="6" t="str">
        <x:v>R102</x:v>
      </x:c>
      <x:c r="C283" s="6" t="str">
        <x:v>0402</x:v>
      </x:c>
      <x:c r="D283" s="6" t="str">
        <x:v>ERJ-2RKF8061X</x:v>
      </x:c>
      <x:c r="E283" s="6" t="str"/>
      <x:c r="F283" s="6" t="str"/>
      <x:c r="G283" s="6" t="n">
        <x:v>1</x:v>
      </x:c>
      <x:c r="H283" s="6" t="str">
        <x:v>Exact MPN; verify stock/package</x:v>
      </x:c>
    </x:row>
    <x:row r="284" ht="26.399999618530273" hidden="0" customHeight="1">
      <x:c r="A284" s="6" t="str">
        <x:v>0</x:v>
      </x:c>
      <x:c r="B284" s="6" t="str">
        <x:v>R103</x:v>
      </x:c>
      <x:c r="C284" s="6" t="str">
        <x:v>0402</x:v>
      </x:c>
      <x:c r="D284" s="6" t="str">
        <x:v>ERJ-2GE0R00X</x:v>
      </x:c>
      <x:c r="E284" s="6" t="str"/>
      <x:c r="F284" s="6" t="str"/>
      <x:c r="G284" s="6" t="n">
        <x:v>1</x:v>
      </x:c>
      <x:c r="H284" s="6" t="str">
        <x:v>Exact MPN; verify stock/package</x:v>
      </x:c>
    </x:row>
    <x:row r="285" ht="26.399999618530273" hidden="0" customHeight="1">
      <x:c r="A285" s="6" t="str">
        <x:v>33</x:v>
      </x:c>
      <x:c r="B285" s="6" t="str">
        <x:v>R104</x:v>
      </x:c>
      <x:c r="C285" s="6" t="str">
        <x:v>0402</x:v>
      </x:c>
      <x:c r="D285" s="6" t="str">
        <x:v>ERJ-2GEJ330X</x:v>
      </x:c>
      <x:c r="E285" s="6" t="str"/>
      <x:c r="F285" s="6" t="str"/>
      <x:c r="G285" s="6" t="n">
        <x:v>1</x:v>
      </x:c>
      <x:c r="H285" s="6" t="str">
        <x:v>Exact MPN; verify stock/package</x:v>
      </x:c>
    </x:row>
    <x:row r="286" ht="26.399999618530273" hidden="0" customHeight="1">
      <x:c r="A286" s="6" t="str">
        <x:v>33</x:v>
      </x:c>
      <x:c r="B286" s="6" t="str">
        <x:v>R105</x:v>
      </x:c>
      <x:c r="C286" s="6" t="str">
        <x:v>0402</x:v>
      </x:c>
      <x:c r="D286" s="6" t="str">
        <x:v>ERJ-2GEJ330X</x:v>
      </x:c>
      <x:c r="E286" s="6" t="str"/>
      <x:c r="F286" s="6" t="str"/>
      <x:c r="G286" s="6" t="n">
        <x:v>1</x:v>
      </x:c>
      <x:c r="H286" s="6" t="str">
        <x:v>Exact MPN; verify stock/package</x:v>
      </x:c>
    </x:row>
    <x:row r="287" ht="26.399999618530273" hidden="0" customHeight="1">
      <x:c r="A287" s="6" t="str">
        <x:v>0</x:v>
      </x:c>
      <x:c r="B287" s="6" t="str">
        <x:v>R106</x:v>
      </x:c>
      <x:c r="C287" s="6" t="str">
        <x:v>0402</x:v>
      </x:c>
      <x:c r="D287" s="6" t="str">
        <x:v>ERJ-2GE0R00X</x:v>
      </x:c>
      <x:c r="E287" s="6" t="str"/>
      <x:c r="F287" s="6" t="str"/>
      <x:c r="G287" s="6" t="n">
        <x:v>1</x:v>
      </x:c>
      <x:c r="H287" s="6" t="str">
        <x:v>Exact MPN; verify stock/package</x:v>
      </x:c>
    </x:row>
    <x:row r="288" ht="26.399999618530273" hidden="0" customHeight="1">
      <x:c r="A288" s="6" t="str">
        <x:v>33</x:v>
      </x:c>
      <x:c r="B288" s="6" t="str">
        <x:v>R107</x:v>
      </x:c>
      <x:c r="C288" s="6" t="str">
        <x:v>0402</x:v>
      </x:c>
      <x:c r="D288" s="6" t="str">
        <x:v>ERJ-2GEJ330X</x:v>
      </x:c>
      <x:c r="E288" s="6" t="str"/>
      <x:c r="F288" s="6" t="str"/>
      <x:c r="G288" s="6" t="n">
        <x:v>1</x:v>
      </x:c>
      <x:c r="H288" s="6" t="str">
        <x:v>Exact MPN; verify stock/package</x:v>
      </x:c>
    </x:row>
    <x:row r="289" ht="26.399999618530273" hidden="0" customHeight="1">
      <x:c r="A289" s="6" t="str">
        <x:v>0</x:v>
      </x:c>
      <x:c r="B289" s="6" t="str">
        <x:v>R108</x:v>
      </x:c>
      <x:c r="C289" s="6" t="str">
        <x:v>0402</x:v>
      </x:c>
      <x:c r="D289" s="6" t="str">
        <x:v>ERJ-2GE0R00X</x:v>
      </x:c>
      <x:c r="E289" s="6" t="str"/>
      <x:c r="F289" s="6" t="str"/>
      <x:c r="G289" s="6" t="n">
        <x:v>1</x:v>
      </x:c>
      <x:c r="H289" s="6" t="str">
        <x:v>Exact MPN; verify stock/package</x:v>
      </x:c>
    </x:row>
    <x:row r="290" ht="26.399999618530273" hidden="0" customHeight="1">
      <x:c r="A290" s="6" t="str">
        <x:v>0</x:v>
      </x:c>
      <x:c r="B290" s="6" t="str">
        <x:v>R109</x:v>
      </x:c>
      <x:c r="C290" s="6" t="str">
        <x:v>0402</x:v>
      </x:c>
      <x:c r="D290" s="6" t="str">
        <x:v>ERJ-2GE0R00X</x:v>
      </x:c>
      <x:c r="E290" s="6" t="str"/>
      <x:c r="F290" s="6" t="str"/>
      <x:c r="G290" s="6" t="n">
        <x:v>1</x:v>
      </x:c>
      <x:c r="H290" s="6" t="str">
        <x:v>Exact MPN; verify stock/package</x:v>
      </x:c>
    </x:row>
    <x:row r="291" ht="26.399999618530273" hidden="0" customHeight="1">
      <x:c r="A291" s="6" t="str">
        <x:v>0</x:v>
      </x:c>
      <x:c r="B291" s="6" t="str">
        <x:v>R110</x:v>
      </x:c>
      <x:c r="C291" s="6" t="str">
        <x:v>0402</x:v>
      </x:c>
      <x:c r="D291" s="6" t="str">
        <x:v>ERJ-2GE0R00X</x:v>
      </x:c>
      <x:c r="E291" s="6" t="str"/>
      <x:c r="F291" s="6" t="str"/>
      <x:c r="G291" s="6" t="n">
        <x:v>1</x:v>
      </x:c>
      <x:c r="H291" s="6" t="str">
        <x:v>Exact MPN; verify stock/package</x:v>
      </x:c>
    </x:row>
    <x:row r="292" ht="26.399999618530273" hidden="0" customHeight="1">
      <x:c r="A292" s="6" t="str">
        <x:v>0</x:v>
      </x:c>
      <x:c r="B292" s="6" t="str">
        <x:v>R111</x:v>
      </x:c>
      <x:c r="C292" s="6" t="str">
        <x:v>0402</x:v>
      </x:c>
      <x:c r="D292" s="6" t="str">
        <x:v>ERJ-2GE0R00X</x:v>
      </x:c>
      <x:c r="E292" s="6" t="str"/>
      <x:c r="F292" s="6" t="str"/>
      <x:c r="G292" s="6" t="n">
        <x:v>1</x:v>
      </x:c>
      <x:c r="H292" s="6" t="str">
        <x:v>Exact MPN; verify stock/package</x:v>
      </x:c>
    </x:row>
    <x:row r="293" ht="26.399999618530273" hidden="0" customHeight="1">
      <x:c r="A293" s="6" t="str">
        <x:v>0</x:v>
      </x:c>
      <x:c r="B293" s="6" t="str">
        <x:v>R112</x:v>
      </x:c>
      <x:c r="C293" s="6" t="str">
        <x:v>0402</x:v>
      </x:c>
      <x:c r="D293" s="6" t="str">
        <x:v>ERJ-2GE0R00X</x:v>
      </x:c>
      <x:c r="E293" s="6" t="str"/>
      <x:c r="F293" s="6" t="str"/>
      <x:c r="G293" s="6" t="n">
        <x:v>1</x:v>
      </x:c>
      <x:c r="H293" s="6" t="str">
        <x:v>Exact MPN; verify stock/package</x:v>
      </x:c>
    </x:row>
    <x:row r="294" ht="26.399999618530273" hidden="0" customHeight="1">
      <x:c r="A294" s="6" t="str">
        <x:v>0</x:v>
      </x:c>
      <x:c r="B294" s="6" t="str">
        <x:v>R113</x:v>
      </x:c>
      <x:c r="C294" s="6" t="str">
        <x:v>0402</x:v>
      </x:c>
      <x:c r="D294" s="6" t="str">
        <x:v>ERJ-2GE0R00X</x:v>
      </x:c>
      <x:c r="E294" s="6" t="str"/>
      <x:c r="F294" s="6" t="str"/>
      <x:c r="G294" s="6" t="n">
        <x:v>1</x:v>
      </x:c>
      <x:c r="H294" s="6" t="str">
        <x:v>Exact MPN; verify stock/package</x:v>
      </x:c>
    </x:row>
    <x:row r="295" ht="26.399999618530273" hidden="0" customHeight="1">
      <x:c r="A295" s="6" t="str">
        <x:v>0</x:v>
      </x:c>
      <x:c r="B295" s="6" t="str">
        <x:v>R114</x:v>
      </x:c>
      <x:c r="C295" s="6" t="str">
        <x:v>0402</x:v>
      </x:c>
      <x:c r="D295" s="6" t="str">
        <x:v>ERJ-2GE0R00X</x:v>
      </x:c>
      <x:c r="E295" s="6" t="str"/>
      <x:c r="F295" s="6" t="str"/>
      <x:c r="G295" s="6" t="n">
        <x:v>1</x:v>
      </x:c>
      <x:c r="H295" s="6" t="str">
        <x:v>Exact MPN; verify stock/package</x:v>
      </x:c>
    </x:row>
    <x:row r="296" ht="26.399999618530273" hidden="0" customHeight="1">
      <x:c r="A296" s="6" t="str">
        <x:v>0</x:v>
      </x:c>
      <x:c r="B296" s="6" t="str">
        <x:v>R115</x:v>
      </x:c>
      <x:c r="C296" s="6" t="str">
        <x:v>0402</x:v>
      </x:c>
      <x:c r="D296" s="6" t="str">
        <x:v>ERJ-2GE0R00X</x:v>
      </x:c>
      <x:c r="E296" s="6" t="str"/>
      <x:c r="F296" s="6" t="str"/>
      <x:c r="G296" s="6" t="n">
        <x:v>1</x:v>
      </x:c>
      <x:c r="H296" s="6" t="str">
        <x:v>Exact MPN; verify stock/package</x:v>
      </x:c>
    </x:row>
    <x:row r="297" ht="26.399999618530273" hidden="0" customHeight="1">
      <x:c r="A297" s="6" t="str">
        <x:v>0</x:v>
      </x:c>
      <x:c r="B297" s="6" t="str">
        <x:v>R116</x:v>
      </x:c>
      <x:c r="C297" s="6" t="str">
        <x:v>0402</x:v>
      </x:c>
      <x:c r="D297" s="6" t="str">
        <x:v>ERJ-2GE0R00X</x:v>
      </x:c>
      <x:c r="E297" s="6" t="str"/>
      <x:c r="F297" s="6" t="str"/>
      <x:c r="G297" s="6" t="n">
        <x:v>1</x:v>
      </x:c>
      <x:c r="H297" s="6" t="str">
        <x:v>Exact MPN; verify stock/package</x:v>
      </x:c>
    </x:row>
    <x:row r="298" ht="26.399999618530273" hidden="0" customHeight="1">
      <x:c r="A298" s="6" t="str">
        <x:v>5.1k</x:v>
      </x:c>
      <x:c r="B298" s="6" t="str">
        <x:v>R117</x:v>
      </x:c>
      <x:c r="C298" s="6" t="str">
        <x:v>0402</x:v>
      </x:c>
      <x:c r="D298" s="6" t="str">
        <x:v>ERJ-2RKF5101X</x:v>
      </x:c>
      <x:c r="E298" s="6" t="str"/>
      <x:c r="F298" s="6" t="str"/>
      <x:c r="G298" s="6" t="n">
        <x:v>1</x:v>
      </x:c>
      <x:c r="H298" s="6" t="str">
        <x:v>Exact MPN; verify stock/package</x:v>
      </x:c>
    </x:row>
    <x:row r="299" ht="26.399999618530273" hidden="0" customHeight="1">
      <x:c r="A299" s="6" t="str">
        <x:v>5.1k</x:v>
      </x:c>
      <x:c r="B299" s="6" t="str">
        <x:v>R118</x:v>
      </x:c>
      <x:c r="C299" s="6" t="str">
        <x:v>0402</x:v>
      </x:c>
      <x:c r="D299" s="6" t="str">
        <x:v>ERJ-2RKF5101X</x:v>
      </x:c>
      <x:c r="E299" s="6" t="str"/>
      <x:c r="F299" s="6" t="str"/>
      <x:c r="G299" s="6" t="n">
        <x:v>1</x:v>
      </x:c>
      <x:c r="H299" s="6" t="str">
        <x:v>Exact MPN; verify stock/package</x:v>
      </x:c>
    </x:row>
    <x:row r="300" ht="26.399999618530273" hidden="0" customHeight="1">
      <x:c r="A300" s="6" t="str">
        <x:v>0</x:v>
      </x:c>
      <x:c r="B300" s="6" t="str">
        <x:v>R119</x:v>
      </x:c>
      <x:c r="C300" s="6" t="str">
        <x:v>0402</x:v>
      </x:c>
      <x:c r="D300" s="6" t="str">
        <x:v>ERJ-2GE0R00X</x:v>
      </x:c>
      <x:c r="E300" s="6" t="str"/>
      <x:c r="F300" s="6" t="str"/>
      <x:c r="G300" s="6" t="n">
        <x:v>1</x:v>
      </x:c>
      <x:c r="H300" s="6" t="str">
        <x:v>Exact MPN; verify stock/package</x:v>
      </x:c>
    </x:row>
    <x:row r="301" ht="26.399999618530273" hidden="0" customHeight="1">
      <x:c r="A301" s="6" t="str">
        <x:v>0</x:v>
      </x:c>
      <x:c r="B301" s="6" t="str">
        <x:v>R120</x:v>
      </x:c>
      <x:c r="C301" s="6" t="str">
        <x:v>0402</x:v>
      </x:c>
      <x:c r="D301" s="6" t="str">
        <x:v>ERJ-2GE0R00X</x:v>
      </x:c>
      <x:c r="E301" s="6" t="str"/>
      <x:c r="F301" s="6" t="str"/>
      <x:c r="G301" s="6" t="n">
        <x:v>1</x:v>
      </x:c>
      <x:c r="H301" s="6" t="str">
        <x:v>Exact MPN; verify stock/package</x:v>
      </x:c>
    </x:row>
    <x:row r="302" ht="26.399999618530273" hidden="0" customHeight="1">
      <x:c r="A302" s="6" t="str">
        <x:v>33</x:v>
      </x:c>
      <x:c r="B302" s="6" t="str">
        <x:v>R121</x:v>
      </x:c>
      <x:c r="C302" s="6" t="str">
        <x:v>0402</x:v>
      </x:c>
      <x:c r="D302" s="6" t="str">
        <x:v>ERJ-2GEJ330X</x:v>
      </x:c>
      <x:c r="E302" s="6" t="str"/>
      <x:c r="F302" s="6" t="str"/>
      <x:c r="G302" s="6" t="n">
        <x:v>1</x:v>
      </x:c>
      <x:c r="H302" s="6" t="str">
        <x:v>Exact MPN; verify stock/package</x:v>
      </x:c>
    </x:row>
    <x:row r="303" ht="26.399999618530273" hidden="0" customHeight="1">
      <x:c r="A303" s="6" t="str">
        <x:v>1k</x:v>
      </x:c>
      <x:c r="B303" s="6" t="str">
        <x:v>R122</x:v>
      </x:c>
      <x:c r="C303" s="6" t="str">
        <x:v>0402</x:v>
      </x:c>
      <x:c r="D303" s="6" t="str">
        <x:v>ERJ-2RKF1001X</x:v>
      </x:c>
      <x:c r="E303" s="6" t="str"/>
      <x:c r="F303" s="6" t="str"/>
      <x:c r="G303" s="6" t="n">
        <x:v>1</x:v>
      </x:c>
      <x:c r="H303" s="6" t="str">
        <x:v>Exact MPN; verify stock/package</x:v>
      </x:c>
    </x:row>
    <x:row r="304" ht="26.399999618530273" hidden="0" customHeight="1">
      <x:c r="A304" s="6" t="str">
        <x:v>10k</x:v>
      </x:c>
      <x:c r="B304" s="6" t="str">
        <x:v>R123</x:v>
      </x:c>
      <x:c r="C304" s="6" t="str">
        <x:v>0402</x:v>
      </x:c>
      <x:c r="D304" s="6" t="str">
        <x:v>ERJ-2RKF1002X</x:v>
      </x:c>
      <x:c r="E304" s="6" t="str"/>
      <x:c r="F304" s="6" t="str"/>
      <x:c r="G304" s="6" t="n">
        <x:v>1</x:v>
      </x:c>
      <x:c r="H304" s="6" t="str">
        <x:v>Exact MPN; verify stock/package</x:v>
      </x:c>
    </x:row>
    <x:row r="305" ht="26.399999618530273" hidden="0" customHeight="1">
      <x:c r="A305" s="6" t="str">
        <x:v>10k</x:v>
      </x:c>
      <x:c r="B305" s="6" t="str">
        <x:v>R124</x:v>
      </x:c>
      <x:c r="C305" s="6" t="str">
        <x:v>0402</x:v>
      </x:c>
      <x:c r="D305" s="6" t="str">
        <x:v>ERJ-2RKF1002X</x:v>
      </x:c>
      <x:c r="E305" s="6" t="str"/>
      <x:c r="F305" s="6" t="str"/>
      <x:c r="G305" s="6" t="n">
        <x:v>1</x:v>
      </x:c>
      <x:c r="H305" s="6" t="str">
        <x:v>Exact MPN; verify stock/package</x:v>
      </x:c>
    </x:row>
    <x:row r="306" ht="26.399999618530273" hidden="0" customHeight="1">
      <x:c r="A306" s="6" t="str">
        <x:v>10k</x:v>
      </x:c>
      <x:c r="B306" s="6" t="str">
        <x:v>R127</x:v>
      </x:c>
      <x:c r="C306" s="6" t="str">
        <x:v>0402</x:v>
      </x:c>
      <x:c r="D306" s="6" t="str">
        <x:v>ERJ-2RKF1002X</x:v>
      </x:c>
      <x:c r="E306" s="6" t="str"/>
      <x:c r="F306" s="6" t="str"/>
      <x:c r="G306" s="6" t="n">
        <x:v>1</x:v>
      </x:c>
      <x:c r="H306" s="6" t="str">
        <x:v>Exact MPN; verify stock/package</x:v>
      </x:c>
    </x:row>
    <x:row r="307" ht="26.399999618530273" hidden="0" customHeight="1">
      <x:c r="A307" s="6" t="str">
        <x:v>0</x:v>
      </x:c>
      <x:c r="B307" s="6" t="str">
        <x:v>R128</x:v>
      </x:c>
      <x:c r="C307" s="6" t="str">
        <x:v>0402</x:v>
      </x:c>
      <x:c r="D307" s="6" t="str">
        <x:v>ERJ-2GE0R00X</x:v>
      </x:c>
      <x:c r="E307" s="6" t="str"/>
      <x:c r="F307" s="6" t="str"/>
      <x:c r="G307" s="6" t="n">
        <x:v>1</x:v>
      </x:c>
      <x:c r="H307" s="6" t="str">
        <x:v>Exact MPN; verify stock/package</x:v>
      </x:c>
    </x:row>
    <x:row r="308" ht="26.399999618530273" hidden="0" customHeight="1">
      <x:c r="A308" s="6" t="str">
        <x:v>100k</x:v>
      </x:c>
      <x:c r="B308" s="6" t="str">
        <x:v>R129</x:v>
      </x:c>
      <x:c r="C308" s="6" t="str">
        <x:v>0402</x:v>
      </x:c>
      <x:c r="D308" s="6" t="str">
        <x:v>ERJ-2RKF1003X</x:v>
      </x:c>
      <x:c r="E308" s="6" t="str"/>
      <x:c r="F308" s="6" t="str"/>
      <x:c r="G308" s="6" t="n">
        <x:v>1</x:v>
      </x:c>
      <x:c r="H308" s="6" t="str">
        <x:v>Exact MPN; verify stock/package</x:v>
      </x:c>
    </x:row>
    <x:row r="309" ht="26.399999618530273" hidden="0" customHeight="1">
      <x:c r="A309" s="6" t="str">
        <x:v>10k</x:v>
      </x:c>
      <x:c r="B309" s="6" t="str">
        <x:v>R130</x:v>
      </x:c>
      <x:c r="C309" s="6" t="str">
        <x:v>0402</x:v>
      </x:c>
      <x:c r="D309" s="6" t="str">
        <x:v>ERJ-2RKF1002X</x:v>
      </x:c>
      <x:c r="E309" s="6" t="str"/>
      <x:c r="F309" s="6" t="str"/>
      <x:c r="G309" s="6" t="n">
        <x:v>1</x:v>
      </x:c>
      <x:c r="H309" s="6" t="str">
        <x:v>Exact MPN; verify stock/package</x:v>
      </x:c>
    </x:row>
    <x:row r="310" ht="26.399999618530273" hidden="0" customHeight="1">
      <x:c r="A310" s="6" t="str">
        <x:v>0</x:v>
      </x:c>
      <x:c r="B310" s="6" t="str">
        <x:v>R131</x:v>
      </x:c>
      <x:c r="C310" s="6" t="str">
        <x:v>0402</x:v>
      </x:c>
      <x:c r="D310" s="6" t="str">
        <x:v>ERJ-2GE0R00X</x:v>
      </x:c>
      <x:c r="E310" s="6" t="str"/>
      <x:c r="F310" s="6" t="str"/>
      <x:c r="G310" s="6" t="n">
        <x:v>1</x:v>
      </x:c>
      <x:c r="H310" s="6" t="str">
        <x:v>Exact MPN; verify stock/package</x:v>
      </x:c>
    </x:row>
    <x:row r="311" ht="26.399999618530273" hidden="0" customHeight="1">
      <x:c r="A311" s="6" t="str">
        <x:v>0</x:v>
      </x:c>
      <x:c r="B311" s="6" t="str">
        <x:v>R132</x:v>
      </x:c>
      <x:c r="C311" s="6" t="str">
        <x:v>0402</x:v>
      </x:c>
      <x:c r="D311" s="6" t="str">
        <x:v>ERJ-2GE0R00X</x:v>
      </x:c>
      <x:c r="E311" s="6" t="str"/>
      <x:c r="F311" s="6" t="str"/>
      <x:c r="G311" s="6" t="n">
        <x:v>1</x:v>
      </x:c>
      <x:c r="H311" s="6" t="str">
        <x:v>Exact MPN; verify stock/package</x:v>
      </x:c>
    </x:row>
    <x:row r="312" ht="26.399999618530273" hidden="0" customHeight="1">
      <x:c r="A312" s="6" t="str">
        <x:v>33</x:v>
      </x:c>
      <x:c r="B312" s="6" t="str">
        <x:v>R133</x:v>
      </x:c>
      <x:c r="C312" s="6" t="str">
        <x:v>0402</x:v>
      </x:c>
      <x:c r="D312" s="6" t="str">
        <x:v>ERJ-2GEJ330X</x:v>
      </x:c>
      <x:c r="E312" s="6" t="str"/>
      <x:c r="F312" s="6" t="str"/>
      <x:c r="G312" s="6" t="n">
        <x:v>1</x:v>
      </x:c>
      <x:c r="H312" s="6" t="str">
        <x:v>Exact MPN; verify stock/package</x:v>
      </x:c>
    </x:row>
    <x:row r="313" ht="26.399999618530273" hidden="0" customHeight="1">
      <x:c r="A313" s="6" t="str">
        <x:v>33</x:v>
      </x:c>
      <x:c r="B313" s="6" t="str">
        <x:v>R134</x:v>
      </x:c>
      <x:c r="C313" s="6" t="str">
        <x:v>0402</x:v>
      </x:c>
      <x:c r="D313" s="6" t="str">
        <x:v>ERJ-2GEJ330X</x:v>
      </x:c>
      <x:c r="E313" s="6" t="str"/>
      <x:c r="F313" s="6" t="str"/>
      <x:c r="G313" s="6" t="n">
        <x:v>1</x:v>
      </x:c>
      <x:c r="H313" s="6" t="str">
        <x:v>Exact MPN; verify stock/package</x:v>
      </x:c>
    </x:row>
    <x:row r="314" ht="26.399999618530273" hidden="0" customHeight="1">
      <x:c r="A314" s="6" t="str">
        <x:v>5.1k</x:v>
      </x:c>
      <x:c r="B314" s="6" t="str">
        <x:v>R135</x:v>
      </x:c>
      <x:c r="C314" s="6" t="str">
        <x:v>0402</x:v>
      </x:c>
      <x:c r="D314" s="6" t="str">
        <x:v>ERJ-2RKF5101X</x:v>
      </x:c>
      <x:c r="E314" s="6" t="str"/>
      <x:c r="F314" s="6" t="str"/>
      <x:c r="G314" s="6" t="n">
        <x:v>1</x:v>
      </x:c>
      <x:c r="H314" s="6" t="str">
        <x:v>Exact MPN; verify stock/package</x:v>
      </x:c>
    </x:row>
    <x:row r="315" ht="26.399999618530273" hidden="0" customHeight="1">
      <x:c r="A315" s="6" t="str">
        <x:v>5.1k</x:v>
      </x:c>
      <x:c r="B315" s="6" t="str">
        <x:v>R136</x:v>
      </x:c>
      <x:c r="C315" s="6" t="str">
        <x:v>0402</x:v>
      </x:c>
      <x:c r="D315" s="6" t="str">
        <x:v>ERJ-2RKF5101X</x:v>
      </x:c>
      <x:c r="E315" s="6" t="str"/>
      <x:c r="F315" s="6" t="str"/>
      <x:c r="G315" s="6" t="n">
        <x:v>1</x:v>
      </x:c>
      <x:c r="H315" s="6" t="str">
        <x:v>Exact MPN; verify stock/package</x:v>
      </x:c>
    </x:row>
    <x:row r="316" ht="39.599998474121094" hidden="0" customHeight="1">
      <x:c r="A316" s="6" t="str">
        <x:v>4.02k</x:v>
      </x:c>
      <x:c r="B316" s="6" t="str">
        <x:v>R137</x:v>
      </x:c>
      <x:c r="C316" s="6" t="str">
        <x:v>0402</x:v>
      </x:c>
      <x:c r="D316" s="6" t="str">
        <x:v>RT0402BRD074K02L</x:v>
      </x:c>
      <x:c r="E316" s="6" t="str">
        <x:v>YAGEO</x:v>
      </x:c>
      <x:c r="F316" s="6" t="str">
        <x:v>C852810</x:v>
      </x:c>
      <x:c r="G316" s="6" t="n">
        <x:v>1</x:v>
      </x:c>
      <x:c r="H316" s="6" t="str">
        <x:v>Applied to CAD; LCSC live stock checked, unreserved; JLC review pending</x:v>
      </x:c>
    </x:row>
    <x:row r="317" ht="39.599998474121094" hidden="0" customHeight="1">
      <x:c r="A317" s="6" t="str">
        <x:v>4.02k</x:v>
      </x:c>
      <x:c r="B317" s="6" t="str">
        <x:v>R138</x:v>
      </x:c>
      <x:c r="C317" s="6" t="str">
        <x:v>0402</x:v>
      </x:c>
      <x:c r="D317" s="6" t="str">
        <x:v>RT0402BRD074K02L</x:v>
      </x:c>
      <x:c r="E317" s="6" t="str">
        <x:v>YAGEO</x:v>
      </x:c>
      <x:c r="F317" s="6" t="str">
        <x:v>C852810</x:v>
      </x:c>
      <x:c r="G317" s="6" t="n">
        <x:v>1</x:v>
      </x:c>
      <x:c r="H317" s="6" t="str">
        <x:v>Applied to CAD; LCSC live stock checked, unreserved; JLC review pending</x:v>
      </x:c>
    </x:row>
    <x:row r="318" ht="39.599998474121094" hidden="0" customHeight="1">
      <x:c r="A318" s="6" t="str">
        <x:v>4.02k</x:v>
      </x:c>
      <x:c r="B318" s="6" t="str">
        <x:v>R139</x:v>
      </x:c>
      <x:c r="C318" s="6" t="str">
        <x:v>0402</x:v>
      </x:c>
      <x:c r="D318" s="6" t="str">
        <x:v>RT0402BRD074K02L</x:v>
      </x:c>
      <x:c r="E318" s="6" t="str">
        <x:v>YAGEO</x:v>
      </x:c>
      <x:c r="F318" s="6" t="str">
        <x:v>C852810</x:v>
      </x:c>
      <x:c r="G318" s="6" t="n">
        <x:v>1</x:v>
      </x:c>
      <x:c r="H318" s="6" t="str">
        <x:v>Applied to CAD; LCSC live stock checked, unreserved; JLC review pending</x:v>
      </x:c>
    </x:row>
    <x:row r="319" ht="26.399999618530273" hidden="0" customHeight="1">
      <x:c r="A319" s="6" t="str">
        <x:v>3.32k 0.1% 25 ppm/K or better</x:v>
      </x:c>
      <x:c r="B319" s="6" t="str">
        <x:v>R140</x:v>
      </x:c>
      <x:c r="C319" s="6" t="str">
        <x:v>0402</x:v>
      </x:c>
      <x:c r="D319" s="6" t="str">
        <x:v>RT0402BRD073K32L</x:v>
      </x:c>
      <x:c r="E319" s="6" t="str">
        <x:v>YAGEO(国巨)</x:v>
      </x:c>
      <x:c r="F319" s="6" t="str">
        <x:v>C852762</x:v>
      </x:c>
      <x:c r="G319" s="6" t="n">
        <x:v>1</x:v>
      </x:c>
      <x:c r="H319" s="6" t="str">
        <x:v>Proposed new MPN; verify stock/package</x:v>
      </x:c>
    </x:row>
    <x:row r="320" ht="26.399999618530273" hidden="0" customHeight="1">
      <x:c r="A320" s="6" t="str">
        <x:v>47 1%</x:v>
      </x:c>
      <x:c r="B320" s="6" t="str">
        <x:v>R141</x:v>
      </x:c>
      <x:c r="C320" s="6" t="str">
        <x:v>0402</x:v>
      </x:c>
      <x:c r="D320" s="6" t="str">
        <x:v>0402WGF470JTCE</x:v>
      </x:c>
      <x:c r="E320" s="6" t="str">
        <x:v>UNI-ROYAL(厚声)</x:v>
      </x:c>
      <x:c r="F320" s="6" t="str">
        <x:v>C25118</x:v>
      </x:c>
      <x:c r="G320" s="6" t="n">
        <x:v>1</x:v>
      </x:c>
      <x:c r="H320" s="6" t="str">
        <x:v>Proposed new MPN; verify stock/package</x:v>
      </x:c>
    </x:row>
    <x:row r="321" ht="26.399999618530273" hidden="0" customHeight="1">
      <x:c r="A321" s="6" t="str">
        <x:v>3.32k 0.1% 25 ppm/K or better</x:v>
      </x:c>
      <x:c r="B321" s="6" t="str">
        <x:v>R142</x:v>
      </x:c>
      <x:c r="C321" s="6" t="str">
        <x:v>0402</x:v>
      </x:c>
      <x:c r="D321" s="6" t="str">
        <x:v>RT0402BRD073K32L</x:v>
      </x:c>
      <x:c r="E321" s="6" t="str">
        <x:v>YAGEO(国巨)</x:v>
      </x:c>
      <x:c r="F321" s="6" t="str">
        <x:v>C852762</x:v>
      </x:c>
      <x:c r="G321" s="6" t="n">
        <x:v>1</x:v>
      </x:c>
      <x:c r="H321" s="6" t="str">
        <x:v>Proposed new MPN; verify stock/package</x:v>
      </x:c>
    </x:row>
    <x:row r="322" ht="26.399999618530273" hidden="0" customHeight="1">
      <x:c r="A322" s="6" t="str">
        <x:v>47 1%</x:v>
      </x:c>
      <x:c r="B322" s="6" t="str">
        <x:v>R143</x:v>
      </x:c>
      <x:c r="C322" s="6" t="str">
        <x:v>0402</x:v>
      </x:c>
      <x:c r="D322" s="6" t="str">
        <x:v>0402WGF470JTCE</x:v>
      </x:c>
      <x:c r="E322" s="6" t="str">
        <x:v>UNI-ROYAL(厚声)</x:v>
      </x:c>
      <x:c r="F322" s="6" t="str">
        <x:v>C25118</x:v>
      </x:c>
      <x:c r="G322" s="6" t="n">
        <x:v>1</x:v>
      </x:c>
      <x:c r="H322" s="6" t="str">
        <x:v>Proposed new MPN; verify stock/package</x:v>
      </x:c>
    </x:row>
    <x:row r="323" ht="26.399999618530273" hidden="0" customHeight="1">
      <x:c r="A323" s="6" t="str">
        <x:v>3.32k 0.1% 25 ppm/K or better</x:v>
      </x:c>
      <x:c r="B323" s="6" t="str">
        <x:v>R144</x:v>
      </x:c>
      <x:c r="C323" s="6" t="str">
        <x:v>0402</x:v>
      </x:c>
      <x:c r="D323" s="6" t="str">
        <x:v>RT0402BRD073K32L</x:v>
      </x:c>
      <x:c r="E323" s="6" t="str">
        <x:v>YAGEO(国巨)</x:v>
      </x:c>
      <x:c r="F323" s="6" t="str">
        <x:v>C852762</x:v>
      </x:c>
      <x:c r="G323" s="6" t="n">
        <x:v>1</x:v>
      </x:c>
      <x:c r="H323" s="6" t="str">
        <x:v>Proposed new MPN; verify stock/package</x:v>
      </x:c>
    </x:row>
    <x:row r="324" ht="26.399999618530273" hidden="0" customHeight="1">
      <x:c r="A324" s="6" t="str">
        <x:v>47 1%</x:v>
      </x:c>
      <x:c r="B324" s="6" t="str">
        <x:v>R145</x:v>
      </x:c>
      <x:c r="C324" s="6" t="str">
        <x:v>0402</x:v>
      </x:c>
      <x:c r="D324" s="6" t="str">
        <x:v>0402WGF470JTCE</x:v>
      </x:c>
      <x:c r="E324" s="6" t="str">
        <x:v>UNI-ROYAL(厚声)</x:v>
      </x:c>
      <x:c r="F324" s="6" t="str">
        <x:v>C25118</x:v>
      </x:c>
      <x:c r="G324" s="6" t="n">
        <x:v>1</x:v>
      </x:c>
      <x:c r="H324" s="6" t="str">
        <x:v>Proposed new MPN; verify stock/package</x:v>
      </x:c>
    </x:row>
    <x:row r="325" ht="39.599998474121094" hidden="0" customHeight="1">
      <x:c r="A325" s="6" t="str">
        <x:v>4.02k</x:v>
      </x:c>
      <x:c r="B325" s="6" t="str">
        <x:v>R149</x:v>
      </x:c>
      <x:c r="C325" s="6" t="str">
        <x:v>0402</x:v>
      </x:c>
      <x:c r="D325" s="6" t="str">
        <x:v>RT0402BRD074K02L</x:v>
      </x:c>
      <x:c r="E325" s="6" t="str">
        <x:v>YAGEO</x:v>
      </x:c>
      <x:c r="F325" s="6" t="str">
        <x:v>C852810</x:v>
      </x:c>
      <x:c r="G325" s="6" t="n">
        <x:v>1</x:v>
      </x:c>
      <x:c r="H325" s="6" t="str">
        <x:v>Applied to CAD; LCSC live stock checked, unreserved; JLC review pending</x:v>
      </x:c>
    </x:row>
    <x:row r="326" ht="39.599998474121094" hidden="0" customHeight="1">
      <x:c r="A326" s="6" t="str">
        <x:v>4.02k</x:v>
      </x:c>
      <x:c r="B326" s="6" t="str">
        <x:v>R150</x:v>
      </x:c>
      <x:c r="C326" s="6" t="str">
        <x:v>0402</x:v>
      </x:c>
      <x:c r="D326" s="6" t="str">
        <x:v>RT0402BRD074K02L</x:v>
      </x:c>
      <x:c r="E326" s="6" t="str">
        <x:v>YAGEO</x:v>
      </x:c>
      <x:c r="F326" s="6" t="str">
        <x:v>C852810</x:v>
      </x:c>
      <x:c r="G326" s="6" t="n">
        <x:v>1</x:v>
      </x:c>
      <x:c r="H326" s="6" t="str">
        <x:v>Applied to CAD; LCSC live stock checked, unreserved; JLC review pending</x:v>
      </x:c>
    </x:row>
    <x:row r="327" ht="39.599998474121094" hidden="0" customHeight="1">
      <x:c r="A327" s="6" t="str">
        <x:v>4.02k</x:v>
      </x:c>
      <x:c r="B327" s="6" t="str">
        <x:v>R151</x:v>
      </x:c>
      <x:c r="C327" s="6" t="str">
        <x:v>0402</x:v>
      </x:c>
      <x:c r="D327" s="6" t="str">
        <x:v>RT0402BRD074K02L</x:v>
      </x:c>
      <x:c r="E327" s="6" t="str">
        <x:v>YAGEO</x:v>
      </x:c>
      <x:c r="F327" s="6" t="str">
        <x:v>C852810</x:v>
      </x:c>
      <x:c r="G327" s="6" t="n">
        <x:v>1</x:v>
      </x:c>
      <x:c r="H327" s="6" t="str">
        <x:v>Applied to CAD; LCSC live stock checked, unreserved; JLC review pending</x:v>
      </x:c>
    </x:row>
    <x:row r="328" ht="26.399999618530273" hidden="0" customHeight="1">
      <x:c r="A328" s="6" t="str">
        <x:v>3.32k 0.1% 25 ppm/K or better</x:v>
      </x:c>
      <x:c r="B328" s="6" t="str">
        <x:v>R152</x:v>
      </x:c>
      <x:c r="C328" s="6" t="str">
        <x:v>0402</x:v>
      </x:c>
      <x:c r="D328" s="6" t="str">
        <x:v>RT0402BRD073K32L</x:v>
      </x:c>
      <x:c r="E328" s="6" t="str">
        <x:v>YAGEO(国巨)</x:v>
      </x:c>
      <x:c r="F328" s="6" t="str">
        <x:v>C852762</x:v>
      </x:c>
      <x:c r="G328" s="6" t="n">
        <x:v>1</x:v>
      </x:c>
      <x:c r="H328" s="6" t="str">
        <x:v>Proposed new MPN; verify stock/package</x:v>
      </x:c>
    </x:row>
    <x:row r="329" ht="26.399999618530273" hidden="0" customHeight="1">
      <x:c r="A329" s="6" t="str">
        <x:v>47 1%</x:v>
      </x:c>
      <x:c r="B329" s="6" t="str">
        <x:v>R153</x:v>
      </x:c>
      <x:c r="C329" s="6" t="str">
        <x:v>0402</x:v>
      </x:c>
      <x:c r="D329" s="6" t="str">
        <x:v>0402WGF470JTCE</x:v>
      </x:c>
      <x:c r="E329" s="6" t="str">
        <x:v>UNI-ROYAL(厚声)</x:v>
      </x:c>
      <x:c r="F329" s="6" t="str">
        <x:v>C25118</x:v>
      </x:c>
      <x:c r="G329" s="6" t="n">
        <x:v>1</x:v>
      </x:c>
      <x:c r="H329" s="6" t="str">
        <x:v>Proposed new MPN; verify stock/package</x:v>
      </x:c>
    </x:row>
    <x:row r="330" ht="26.399999618530273" hidden="0" customHeight="1">
      <x:c r="A330" s="6" t="str">
        <x:v>3.32k 0.1% 25 ppm/K or better</x:v>
      </x:c>
      <x:c r="B330" s="6" t="str">
        <x:v>R154</x:v>
      </x:c>
      <x:c r="C330" s="6" t="str">
        <x:v>0402</x:v>
      </x:c>
      <x:c r="D330" s="6" t="str">
        <x:v>RT0402BRD073K32L</x:v>
      </x:c>
      <x:c r="E330" s="6" t="str">
        <x:v>YAGEO(国巨)</x:v>
      </x:c>
      <x:c r="F330" s="6" t="str">
        <x:v>C852762</x:v>
      </x:c>
      <x:c r="G330" s="6" t="n">
        <x:v>1</x:v>
      </x:c>
      <x:c r="H330" s="6" t="str">
        <x:v>Proposed new MPN; verify stock/package</x:v>
      </x:c>
    </x:row>
    <x:row r="331" ht="26.399999618530273" hidden="0" customHeight="1">
      <x:c r="A331" s="6" t="str">
        <x:v>47 1%</x:v>
      </x:c>
      <x:c r="B331" s="6" t="str">
        <x:v>R155</x:v>
      </x:c>
      <x:c r="C331" s="6" t="str">
        <x:v>0402</x:v>
      </x:c>
      <x:c r="D331" s="6" t="str">
        <x:v>0402WGF470JTCE</x:v>
      </x:c>
      <x:c r="E331" s="6" t="str">
        <x:v>UNI-ROYAL(厚声)</x:v>
      </x:c>
      <x:c r="F331" s="6" t="str">
        <x:v>C25118</x:v>
      </x:c>
      <x:c r="G331" s="6" t="n">
        <x:v>1</x:v>
      </x:c>
      <x:c r="H331" s="6" t="str">
        <x:v>Proposed new MPN; verify stock/package</x:v>
      </x:c>
    </x:row>
    <x:row r="332" ht="26.399999618530273" hidden="0" customHeight="1">
      <x:c r="A332" s="6" t="str">
        <x:v>3.32k 0.1% 25 ppm/K or better</x:v>
      </x:c>
      <x:c r="B332" s="6" t="str">
        <x:v>R156</x:v>
      </x:c>
      <x:c r="C332" s="6" t="str">
        <x:v>0402</x:v>
      </x:c>
      <x:c r="D332" s="6" t="str">
        <x:v>RT0402BRD073K32L</x:v>
      </x:c>
      <x:c r="E332" s="6" t="str">
        <x:v>YAGEO(国巨)</x:v>
      </x:c>
      <x:c r="F332" s="6" t="str">
        <x:v>C852762</x:v>
      </x:c>
      <x:c r="G332" s="6" t="n">
        <x:v>1</x:v>
      </x:c>
      <x:c r="H332" s="6" t="str">
        <x:v>Proposed new MPN; verify stock/package</x:v>
      </x:c>
    </x:row>
    <x:row r="333" ht="26.399999618530273" hidden="0" customHeight="1">
      <x:c r="A333" s="6" t="str">
        <x:v>47 1%</x:v>
      </x:c>
      <x:c r="B333" s="6" t="str">
        <x:v>R157</x:v>
      </x:c>
      <x:c r="C333" s="6" t="str">
        <x:v>0402</x:v>
      </x:c>
      <x:c r="D333" s="6" t="str">
        <x:v>0402WGF470JTCE</x:v>
      </x:c>
      <x:c r="E333" s="6" t="str">
        <x:v>UNI-ROYAL(厚声)</x:v>
      </x:c>
      <x:c r="F333" s="6" t="str">
        <x:v>C25118</x:v>
      </x:c>
      <x:c r="G333" s="6" t="n">
        <x:v>1</x:v>
      </x:c>
      <x:c r="H333" s="6" t="str">
        <x:v>Proposed new MPN; verify stock/package</x:v>
      </x:c>
    </x:row>
    <x:row r="334" ht="39.599998474121094" hidden="0" customHeight="1">
      <x:c r="A334" s="6" t="str">
        <x:v>4.02k</x:v>
      </x:c>
      <x:c r="B334" s="6" t="str">
        <x:v>R161</x:v>
      </x:c>
      <x:c r="C334" s="6" t="str">
        <x:v>0402</x:v>
      </x:c>
      <x:c r="D334" s="6" t="str">
        <x:v>RT0402BRD074K02L</x:v>
      </x:c>
      <x:c r="E334" s="6" t="str">
        <x:v>YAGEO</x:v>
      </x:c>
      <x:c r="F334" s="6" t="str">
        <x:v>C852810</x:v>
      </x:c>
      <x:c r="G334" s="6" t="n">
        <x:v>1</x:v>
      </x:c>
      <x:c r="H334" s="6" t="str">
        <x:v>Applied to CAD; LCSC live stock checked, unreserved; JLC review pending</x:v>
      </x:c>
    </x:row>
    <x:row r="335" ht="39.599998474121094" hidden="0" customHeight="1">
      <x:c r="A335" s="6" t="str">
        <x:v>4.02k</x:v>
      </x:c>
      <x:c r="B335" s="6" t="str">
        <x:v>R162</x:v>
      </x:c>
      <x:c r="C335" s="6" t="str">
        <x:v>0402</x:v>
      </x:c>
      <x:c r="D335" s="6" t="str">
        <x:v>RT0402BRD074K02L</x:v>
      </x:c>
      <x:c r="E335" s="6" t="str">
        <x:v>YAGEO</x:v>
      </x:c>
      <x:c r="F335" s="6" t="str">
        <x:v>C852810</x:v>
      </x:c>
      <x:c r="G335" s="6" t="n">
        <x:v>1</x:v>
      </x:c>
      <x:c r="H335" s="6" t="str">
        <x:v>Applied to CAD; LCSC live stock checked, unreserved; JLC review pending</x:v>
      </x:c>
    </x:row>
    <x:row r="336" ht="39.599998474121094" hidden="0" customHeight="1">
      <x:c r="A336" s="6" t="str">
        <x:v>4.02k</x:v>
      </x:c>
      <x:c r="B336" s="6" t="str">
        <x:v>R163</x:v>
      </x:c>
      <x:c r="C336" s="6" t="str">
        <x:v>0402</x:v>
      </x:c>
      <x:c r="D336" s="6" t="str">
        <x:v>RT0402BRD074K02L</x:v>
      </x:c>
      <x:c r="E336" s="6" t="str">
        <x:v>YAGEO</x:v>
      </x:c>
      <x:c r="F336" s="6" t="str">
        <x:v>C852810</x:v>
      </x:c>
      <x:c r="G336" s="6" t="n">
        <x:v>1</x:v>
      </x:c>
      <x:c r="H336" s="6" t="str">
        <x:v>Applied to CAD; LCSC live stock checked, unreserved; JLC review pending</x:v>
      </x:c>
    </x:row>
    <x:row r="337" ht="39.599998474121094" hidden="0" customHeight="1">
      <x:c r="A337" s="6" t="str">
        <x:v>4.02k</x:v>
      </x:c>
      <x:c r="B337" s="6" t="str">
        <x:v>R164</x:v>
      </x:c>
      <x:c r="C337" s="6" t="str">
        <x:v>0402</x:v>
      </x:c>
      <x:c r="D337" s="6" t="str">
        <x:v>RT0402BRD074K02L</x:v>
      </x:c>
      <x:c r="E337" s="6" t="str">
        <x:v>YAGEO</x:v>
      </x:c>
      <x:c r="F337" s="6" t="str">
        <x:v>C852810</x:v>
      </x:c>
      <x:c r="G337" s="6" t="n">
        <x:v>1</x:v>
      </x:c>
      <x:c r="H337" s="6" t="str">
        <x:v>Applied to CAD; LCSC live stock checked, unreserved; JLC review pending</x:v>
      </x:c>
    </x:row>
    <x:row r="338" ht="26.399999618530273" hidden="0" customHeight="1">
      <x:c r="A338" s="6" t="str">
        <x:v>3.32k 0.1% 25 ppm/K or better</x:v>
      </x:c>
      <x:c r="B338" s="6" t="str">
        <x:v>R165</x:v>
      </x:c>
      <x:c r="C338" s="6" t="str">
        <x:v>0402</x:v>
      </x:c>
      <x:c r="D338" s="6" t="str">
        <x:v>RT0402BRD073K32L</x:v>
      </x:c>
      <x:c r="E338" s="6" t="str">
        <x:v>YAGEO(国巨)</x:v>
      </x:c>
      <x:c r="F338" s="6" t="str">
        <x:v>C852762</x:v>
      </x:c>
      <x:c r="G338" s="6" t="n">
        <x:v>1</x:v>
      </x:c>
      <x:c r="H338" s="6" t="str">
        <x:v>Proposed new MPN; verify stock/package</x:v>
      </x:c>
    </x:row>
    <x:row r="339" ht="26.399999618530273" hidden="0" customHeight="1">
      <x:c r="A339" s="6" t="str">
        <x:v>47 1%</x:v>
      </x:c>
      <x:c r="B339" s="6" t="str">
        <x:v>R166</x:v>
      </x:c>
      <x:c r="C339" s="6" t="str">
        <x:v>0402</x:v>
      </x:c>
      <x:c r="D339" s="6" t="str">
        <x:v>0402WGF470JTCE</x:v>
      </x:c>
      <x:c r="E339" s="6" t="str">
        <x:v>UNI-ROYAL(厚声)</x:v>
      </x:c>
      <x:c r="F339" s="6" t="str">
        <x:v>C25118</x:v>
      </x:c>
      <x:c r="G339" s="6" t="n">
        <x:v>1</x:v>
      </x:c>
      <x:c r="H339" s="6" t="str">
        <x:v>Proposed new MPN; verify stock/package</x:v>
      </x:c>
    </x:row>
    <x:row r="340" ht="26.399999618530273" hidden="0" customHeight="1">
      <x:c r="A340" s="6" t="str">
        <x:v>3.32k 0.1% 25 ppm/K or better</x:v>
      </x:c>
      <x:c r="B340" s="6" t="str">
        <x:v>R167</x:v>
      </x:c>
      <x:c r="C340" s="6" t="str">
        <x:v>0402</x:v>
      </x:c>
      <x:c r="D340" s="6" t="str">
        <x:v>RT0402BRD073K32L</x:v>
      </x:c>
      <x:c r="E340" s="6" t="str">
        <x:v>YAGEO(国巨)</x:v>
      </x:c>
      <x:c r="F340" s="6" t="str">
        <x:v>C852762</x:v>
      </x:c>
      <x:c r="G340" s="6" t="n">
        <x:v>1</x:v>
      </x:c>
      <x:c r="H340" s="6" t="str">
        <x:v>Proposed new MPN; verify stock/package</x:v>
      </x:c>
    </x:row>
    <x:row r="341" ht="26.399999618530273" hidden="0" customHeight="1">
      <x:c r="A341" s="6" t="str">
        <x:v>47 1%</x:v>
      </x:c>
      <x:c r="B341" s="6" t="str">
        <x:v>R168</x:v>
      </x:c>
      <x:c r="C341" s="6" t="str">
        <x:v>0402</x:v>
      </x:c>
      <x:c r="D341" s="6" t="str">
        <x:v>0402WGF470JTCE</x:v>
      </x:c>
      <x:c r="E341" s="6" t="str">
        <x:v>UNI-ROYAL(厚声)</x:v>
      </x:c>
      <x:c r="F341" s="6" t="str">
        <x:v>C25118</x:v>
      </x:c>
      <x:c r="G341" s="6" t="n">
        <x:v>1</x:v>
      </x:c>
      <x:c r="H341" s="6" t="str">
        <x:v>Proposed new MPN; verify stock/package</x:v>
      </x:c>
    </x:row>
    <x:row r="342" ht="26.399999618530273" hidden="0" customHeight="1">
      <x:c r="A342" s="6" t="str">
        <x:v>3.32k 0.1% 25 ppm/K or better</x:v>
      </x:c>
      <x:c r="B342" s="6" t="str">
        <x:v>R169</x:v>
      </x:c>
      <x:c r="C342" s="6" t="str">
        <x:v>0402</x:v>
      </x:c>
      <x:c r="D342" s="6" t="str">
        <x:v>RT0402BRD073K32L</x:v>
      </x:c>
      <x:c r="E342" s="6" t="str">
        <x:v>YAGEO(国巨)</x:v>
      </x:c>
      <x:c r="F342" s="6" t="str">
        <x:v>C852762</x:v>
      </x:c>
      <x:c r="G342" s="6" t="n">
        <x:v>1</x:v>
      </x:c>
      <x:c r="H342" s="6" t="str">
        <x:v>Proposed new MPN; verify stock/package</x:v>
      </x:c>
    </x:row>
    <x:row r="343" ht="26.399999618530273" hidden="0" customHeight="1">
      <x:c r="A343" s="6" t="str">
        <x:v>47 1%</x:v>
      </x:c>
      <x:c r="B343" s="6" t="str">
        <x:v>R170</x:v>
      </x:c>
      <x:c r="C343" s="6" t="str">
        <x:v>0402</x:v>
      </x:c>
      <x:c r="D343" s="6" t="str">
        <x:v>0402WGF470JTCE</x:v>
      </x:c>
      <x:c r="E343" s="6" t="str">
        <x:v>UNI-ROYAL(厚声)</x:v>
      </x:c>
      <x:c r="F343" s="6" t="str">
        <x:v>C25118</x:v>
      </x:c>
      <x:c r="G343" s="6" t="n">
        <x:v>1</x:v>
      </x:c>
      <x:c r="H343" s="6" t="str">
        <x:v>Proposed new MPN; verify stock/package</x:v>
      </x:c>
    </x:row>
    <x:row r="344" ht="26.399999618530273" hidden="0" customHeight="1">
      <x:c r="A344" s="6" t="str">
        <x:v>3.32k 0.1% 25 ppm/K or better</x:v>
      </x:c>
      <x:c r="B344" s="6" t="str">
        <x:v>R171</x:v>
      </x:c>
      <x:c r="C344" s="6" t="str">
        <x:v>0402</x:v>
      </x:c>
      <x:c r="D344" s="6" t="str">
        <x:v>RT0402BRD073K32L</x:v>
      </x:c>
      <x:c r="E344" s="6" t="str">
        <x:v>YAGEO(国巨)</x:v>
      </x:c>
      <x:c r="F344" s="6" t="str">
        <x:v>C852762</x:v>
      </x:c>
      <x:c r="G344" s="6" t="n">
        <x:v>1</x:v>
      </x:c>
      <x:c r="H344" s="6" t="str">
        <x:v>Proposed new MPN; verify stock/package</x:v>
      </x:c>
    </x:row>
    <x:row r="345" ht="26.399999618530273" hidden="0" customHeight="1">
      <x:c r="A345" s="6" t="str">
        <x:v>47 1%</x:v>
      </x:c>
      <x:c r="B345" s="6" t="str">
        <x:v>R172</x:v>
      </x:c>
      <x:c r="C345" s="6" t="str">
        <x:v>0402</x:v>
      </x:c>
      <x:c r="D345" s="6" t="str">
        <x:v>0402WGF470JTCE</x:v>
      </x:c>
      <x:c r="E345" s="6" t="str">
        <x:v>UNI-ROYAL(厚声)</x:v>
      </x:c>
      <x:c r="F345" s="6" t="str">
        <x:v>C25118</x:v>
      </x:c>
      <x:c r="G345" s="6" t="n">
        <x:v>1</x:v>
      </x:c>
      <x:c r="H345" s="6" t="str">
        <x:v>Proposed new MPN; verify stock/package</x:v>
      </x:c>
    </x:row>
    <x:row r="346" ht="26.399999618530273" hidden="0" customHeight="1">
      <x:c r="A346" s="6" t="str">
        <x:v>100k 0.1% 25 ppm/K or better</x:v>
      </x:c>
      <x:c r="B346" s="6" t="str">
        <x:v>R177</x:v>
      </x:c>
      <x:c r="C346" s="6" t="str">
        <x:v>0402</x:v>
      </x:c>
      <x:c r="D346" s="6" t="str">
        <x:v>RT0402BRD07100KL</x:v>
      </x:c>
      <x:c r="E346" s="6" t="str">
        <x:v>YAGEO(国巨)</x:v>
      </x:c>
      <x:c r="F346" s="6" t="str">
        <x:v>C852472</x:v>
      </x:c>
      <x:c r="G346" s="6" t="n">
        <x:v>1</x:v>
      </x:c>
      <x:c r="H346" s="6" t="str">
        <x:v>Proposed new MPN; verify stock/package</x:v>
      </x:c>
    </x:row>
    <x:row r="347" ht="26.399999618530273" hidden="0" customHeight="1">
      <x:c r="A347" s="6" t="str">
        <x:v>100k 0.1% 25 ppm/K or better</x:v>
      </x:c>
      <x:c r="B347" s="6" t="str">
        <x:v>R178</x:v>
      </x:c>
      <x:c r="C347" s="6" t="str">
        <x:v>0402</x:v>
      </x:c>
      <x:c r="D347" s="6" t="str">
        <x:v>RT0402BRD07100KL</x:v>
      </x:c>
      <x:c r="E347" s="6" t="str">
        <x:v>YAGEO(国巨)</x:v>
      </x:c>
      <x:c r="F347" s="6" t="str">
        <x:v>C852472</x:v>
      </x:c>
      <x:c r="G347" s="6" t="n">
        <x:v>1</x:v>
      </x:c>
      <x:c r="H347" s="6" t="str">
        <x:v>Proposed new MPN; verify stock/package</x:v>
      </x:c>
    </x:row>
    <x:row r="348" ht="26.399999618530273" hidden="0" customHeight="1">
      <x:c r="A348" s="6" t="str">
        <x:v>100k 0.1% 25 ppm/K or better</x:v>
      </x:c>
      <x:c r="B348" s="6" t="str">
        <x:v>R179</x:v>
      </x:c>
      <x:c r="C348" s="6" t="str">
        <x:v>0402</x:v>
      </x:c>
      <x:c r="D348" s="6" t="str">
        <x:v>RT0402BRD07100KL</x:v>
      </x:c>
      <x:c r="E348" s="6" t="str">
        <x:v>YAGEO(国巨)</x:v>
      </x:c>
      <x:c r="F348" s="6" t="str">
        <x:v>C852472</x:v>
      </x:c>
      <x:c r="G348" s="6" t="n">
        <x:v>1</x:v>
      </x:c>
      <x:c r="H348" s="6" t="str">
        <x:v>Proposed new MPN; verify stock/package</x:v>
      </x:c>
    </x:row>
    <x:row r="349" ht="26.399999618530273" hidden="0" customHeight="1">
      <x:c r="A349" s="6" t="str">
        <x:v>100k 0.1% 25 ppm/K or better</x:v>
      </x:c>
      <x:c r="B349" s="6" t="str">
        <x:v>R180</x:v>
      </x:c>
      <x:c r="C349" s="6" t="str">
        <x:v>0402</x:v>
      </x:c>
      <x:c r="D349" s="6" t="str">
        <x:v>RT0402BRD07100KL</x:v>
      </x:c>
      <x:c r="E349" s="6" t="str">
        <x:v>YAGEO(国巨)</x:v>
      </x:c>
      <x:c r="F349" s="6" t="str">
        <x:v>C852472</x:v>
      </x:c>
      <x:c r="G349" s="6" t="n">
        <x:v>1</x:v>
      </x:c>
      <x:c r="H349" s="6" t="str">
        <x:v>Proposed new MPN; verify stock/package</x:v>
      </x:c>
    </x:row>
    <x:row r="350" ht="26.399999618530273" hidden="0" customHeight="1">
      <x:c r="A350" s="6" t="str">
        <x:v>100k 0.1% 25 ppm/K or better</x:v>
      </x:c>
      <x:c r="B350" s="6" t="str">
        <x:v>R181</x:v>
      </x:c>
      <x:c r="C350" s="6" t="str">
        <x:v>0402</x:v>
      </x:c>
      <x:c r="D350" s="6" t="str">
        <x:v>RT0402BRD07100KL</x:v>
      </x:c>
      <x:c r="E350" s="6" t="str">
        <x:v>YAGEO(国巨)</x:v>
      </x:c>
      <x:c r="F350" s="6" t="str">
        <x:v>C852472</x:v>
      </x:c>
      <x:c r="G350" s="6" t="n">
        <x:v>1</x:v>
      </x:c>
      <x:c r="H350" s="6" t="str">
        <x:v>Proposed new MPN; verify stock/package</x:v>
      </x:c>
    </x:row>
    <x:row r="351" ht="26.399999618530273" hidden="0" customHeight="1">
      <x:c r="A351" s="6" t="str">
        <x:v>100k 0.1% 25 ppm/K or better</x:v>
      </x:c>
      <x:c r="B351" s="6" t="str">
        <x:v>R182</x:v>
      </x:c>
      <x:c r="C351" s="6" t="str">
        <x:v>0402</x:v>
      </x:c>
      <x:c r="D351" s="6" t="str">
        <x:v>RT0402BRD07100KL</x:v>
      </x:c>
      <x:c r="E351" s="6" t="str">
        <x:v>YAGEO(国巨)</x:v>
      </x:c>
      <x:c r="F351" s="6" t="str">
        <x:v>C852472</x:v>
      </x:c>
      <x:c r="G351" s="6" t="n">
        <x:v>1</x:v>
      </x:c>
      <x:c r="H351" s="6" t="str">
        <x:v>Proposed new MPN; verify stock/package</x:v>
      </x:c>
    </x:row>
    <x:row r="352" ht="26.399999618530273" hidden="0" customHeight="1">
      <x:c r="A352" s="6" t="str">
        <x:v>100k 0.1% 25 ppm/K or better</x:v>
      </x:c>
      <x:c r="B352" s="6" t="str">
        <x:v>R183</x:v>
      </x:c>
      <x:c r="C352" s="6" t="str">
        <x:v>0402</x:v>
      </x:c>
      <x:c r="D352" s="6" t="str">
        <x:v>RT0402BRD07100KL</x:v>
      </x:c>
      <x:c r="E352" s="6" t="str">
        <x:v>YAGEO(国巨)</x:v>
      </x:c>
      <x:c r="F352" s="6" t="str">
        <x:v>C852472</x:v>
      </x:c>
      <x:c r="G352" s="6" t="n">
        <x:v>1</x:v>
      </x:c>
      <x:c r="H352" s="6" t="str">
        <x:v>Proposed new MPN; verify stock/package</x:v>
      </x:c>
    </x:row>
    <x:row r="353" ht="26.399999618530273" hidden="0" customHeight="1">
      <x:c r="A353" s="6" t="str">
        <x:v>100k 0.1% 25 ppm/K or better</x:v>
      </x:c>
      <x:c r="B353" s="6" t="str">
        <x:v>R184</x:v>
      </x:c>
      <x:c r="C353" s="6" t="str">
        <x:v>0402</x:v>
      </x:c>
      <x:c r="D353" s="6" t="str">
        <x:v>RT0402BRD07100KL</x:v>
      </x:c>
      <x:c r="E353" s="6" t="str">
        <x:v>YAGEO(国巨)</x:v>
      </x:c>
      <x:c r="F353" s="6" t="str">
        <x:v>C852472</x:v>
      </x:c>
      <x:c r="G353" s="6" t="n">
        <x:v>1</x:v>
      </x:c>
      <x:c r="H353" s="6" t="str">
        <x:v>Proposed new MPN; verify stock/package</x:v>
      </x:c>
    </x:row>
    <x:row r="354" ht="26.399999618530273" hidden="0" customHeight="1">
      <x:c r="A354" s="6" t="str">
        <x:v>100k 0.1% 25 ppm/K or better</x:v>
      </x:c>
      <x:c r="B354" s="6" t="str">
        <x:v>R185</x:v>
      </x:c>
      <x:c r="C354" s="6" t="str">
        <x:v>0402</x:v>
      </x:c>
      <x:c r="D354" s="6" t="str">
        <x:v>RT0402BRD07100KL</x:v>
      </x:c>
      <x:c r="E354" s="6" t="str">
        <x:v>YAGEO(国巨)</x:v>
      </x:c>
      <x:c r="F354" s="6" t="str">
        <x:v>C852472</x:v>
      </x:c>
      <x:c r="G354" s="6" t="n">
        <x:v>1</x:v>
      </x:c>
      <x:c r="H354" s="6" t="str">
        <x:v>Proposed new MPN; verify stock/package</x:v>
      </x:c>
    </x:row>
    <x:row r="355" ht="26.399999618530273" hidden="0" customHeight="1">
      <x:c r="A355" s="6" t="str">
        <x:v>100k 0.1% 25 ppm/K or better</x:v>
      </x:c>
      <x:c r="B355" s="6" t="str">
        <x:v>R186</x:v>
      </x:c>
      <x:c r="C355" s="6" t="str">
        <x:v>0402</x:v>
      </x:c>
      <x:c r="D355" s="6" t="str">
        <x:v>RT0402BRD07100KL</x:v>
      </x:c>
      <x:c r="E355" s="6" t="str">
        <x:v>YAGEO(国巨)</x:v>
      </x:c>
      <x:c r="F355" s="6" t="str">
        <x:v>C852472</x:v>
      </x:c>
      <x:c r="G355" s="6" t="n">
        <x:v>1</x:v>
      </x:c>
      <x:c r="H355" s="6" t="str">
        <x:v>Proposed new MPN; verify stock/package</x:v>
      </x:c>
    </x:row>
    <x:row r="356" ht="39.599998474121094" hidden="0" customHeight="1">
      <x:c r="A356" s="6" t="str">
        <x:v>2.80k</x:v>
      </x:c>
      <x:c r="B356" s="6" t="str">
        <x:v>R187</x:v>
      </x:c>
      <x:c r="C356" s="6" t="str">
        <x:v>0402</x:v>
      </x:c>
      <x:c r="D356" s="6" t="str">
        <x:v>PTFR0402B2K80P9</x:v>
      </x:c>
      <x:c r="E356" s="6" t="str">
        <x:v>RESI</x:v>
      </x:c>
      <x:c r="F356" s="6" t="str">
        <x:v>C2692906</x:v>
      </x:c>
      <x:c r="G356" s="6" t="n">
        <x:v>1</x:v>
      </x:c>
      <x:c r="H356" s="6" t="str">
        <x:v>Applied to CAD; LCSC live stock checked, unreserved; JLC review pending</x:v>
      </x:c>
    </x:row>
    <x:row r="357" ht="39.599998474121094" hidden="0" customHeight="1">
      <x:c r="A357" s="6" t="str">
        <x:v>2.80k</x:v>
      </x:c>
      <x:c r="B357" s="6" t="str">
        <x:v>R188</x:v>
      </x:c>
      <x:c r="C357" s="6" t="str">
        <x:v>0402</x:v>
      </x:c>
      <x:c r="D357" s="6" t="str">
        <x:v>PTFR0402B2K80P9</x:v>
      </x:c>
      <x:c r="E357" s="6" t="str">
        <x:v>RESI</x:v>
      </x:c>
      <x:c r="F357" s="6" t="str">
        <x:v>C2692906</x:v>
      </x:c>
      <x:c r="G357" s="6" t="n">
        <x:v>1</x:v>
      </x:c>
      <x:c r="H357" s="6" t="str">
        <x:v>Applied to CAD; LCSC live stock checked, unreserved; JLC review pending</x:v>
      </x:c>
    </x:row>
    <x:row r="358" ht="39.599998474121094" hidden="0" customHeight="1">
      <x:c r="A358" s="6" t="str">
        <x:v>2.80k</x:v>
      </x:c>
      <x:c r="B358" s="6" t="str">
        <x:v>R189</x:v>
      </x:c>
      <x:c r="C358" s="6" t="str">
        <x:v>0402</x:v>
      </x:c>
      <x:c r="D358" s="6" t="str">
        <x:v>PTFR0402B2K80P9</x:v>
      </x:c>
      <x:c r="E358" s="6" t="str">
        <x:v>RESI</x:v>
      </x:c>
      <x:c r="F358" s="6" t="str">
        <x:v>C2692906</x:v>
      </x:c>
      <x:c r="G358" s="6" t="n">
        <x:v>1</x:v>
      </x:c>
      <x:c r="H358" s="6" t="str">
        <x:v>Applied to CAD; LCSC live stock checked, unreserved; JLC review pending</x:v>
      </x:c>
    </x:row>
    <x:row r="359" ht="39.599998474121094" hidden="0" customHeight="1">
      <x:c r="A359" s="6" t="str">
        <x:v>2.80k</x:v>
      </x:c>
      <x:c r="B359" s="6" t="str">
        <x:v>R190</x:v>
      </x:c>
      <x:c r="C359" s="6" t="str">
        <x:v>0402</x:v>
      </x:c>
      <x:c r="D359" s="6" t="str">
        <x:v>PTFR0402B2K80P9</x:v>
      </x:c>
      <x:c r="E359" s="6" t="str">
        <x:v>RESI</x:v>
      </x:c>
      <x:c r="F359" s="6" t="str">
        <x:v>C2692906</x:v>
      </x:c>
      <x:c r="G359" s="6" t="n">
        <x:v>1</x:v>
      </x:c>
      <x:c r="H359" s="6" t="str">
        <x:v>Applied to CAD; LCSC live stock checked, unreserved; JLC review pending</x:v>
      </x:c>
    </x:row>
    <x:row r="360" ht="39.599998474121094" hidden="0" customHeight="1">
      <x:c r="A360" s="6" t="str">
        <x:v>2.80k</x:v>
      </x:c>
      <x:c r="B360" s="6" t="str">
        <x:v>R191</x:v>
      </x:c>
      <x:c r="C360" s="6" t="str">
        <x:v>0402</x:v>
      </x:c>
      <x:c r="D360" s="6" t="str">
        <x:v>PTFR0402B2K80P9</x:v>
      </x:c>
      <x:c r="E360" s="6" t="str">
        <x:v>RESI</x:v>
      </x:c>
      <x:c r="F360" s="6" t="str">
        <x:v>C2692906</x:v>
      </x:c>
      <x:c r="G360" s="6" t="n">
        <x:v>1</x:v>
      </x:c>
      <x:c r="H360" s="6" t="str">
        <x:v>Applied to CAD; LCSC live stock checked, unreserved; JLC review pending</x:v>
      </x:c>
    </x:row>
    <x:row r="361" ht="39.599998474121094" hidden="0" customHeight="1">
      <x:c r="A361" s="6" t="str">
        <x:v>2.80k</x:v>
      </x:c>
      <x:c r="B361" s="6" t="str">
        <x:v>R192</x:v>
      </x:c>
      <x:c r="C361" s="6" t="str">
        <x:v>0402</x:v>
      </x:c>
      <x:c r="D361" s="6" t="str">
        <x:v>PTFR0402B2K80P9</x:v>
      </x:c>
      <x:c r="E361" s="6" t="str">
        <x:v>RESI</x:v>
      </x:c>
      <x:c r="F361" s="6" t="str">
        <x:v>C2692906</x:v>
      </x:c>
      <x:c r="G361" s="6" t="n">
        <x:v>1</x:v>
      </x:c>
      <x:c r="H361" s="6" t="str">
        <x:v>Applied to CAD; LCSC live stock checked, unreserved; JLC review pending</x:v>
      </x:c>
    </x:row>
    <x:row r="362" ht="39.599998474121094" hidden="0" customHeight="1">
      <x:c r="A362" s="6" t="str">
        <x:v>2.80k</x:v>
      </x:c>
      <x:c r="B362" s="6" t="str">
        <x:v>R193</x:v>
      </x:c>
      <x:c r="C362" s="6" t="str">
        <x:v>0402</x:v>
      </x:c>
      <x:c r="D362" s="6" t="str">
        <x:v>PTFR0402B2K80P9</x:v>
      </x:c>
      <x:c r="E362" s="6" t="str">
        <x:v>RESI</x:v>
      </x:c>
      <x:c r="F362" s="6" t="str">
        <x:v>C2692906</x:v>
      </x:c>
      <x:c r="G362" s="6" t="n">
        <x:v>1</x:v>
      </x:c>
      <x:c r="H362" s="6" t="str">
        <x:v>Applied to CAD; LCSC live stock checked, unreserved; JLC review pending</x:v>
      </x:c>
    </x:row>
    <x:row r="363" ht="39.599998474121094" hidden="0" customHeight="1">
      <x:c r="A363" s="6" t="str">
        <x:v>2.80k</x:v>
      </x:c>
      <x:c r="B363" s="6" t="str">
        <x:v>R194</x:v>
      </x:c>
      <x:c r="C363" s="6" t="str">
        <x:v>0402</x:v>
      </x:c>
      <x:c r="D363" s="6" t="str">
        <x:v>PTFR0402B2K80P9</x:v>
      </x:c>
      <x:c r="E363" s="6" t="str">
        <x:v>RESI</x:v>
      </x:c>
      <x:c r="F363" s="6" t="str">
        <x:v>C2692906</x:v>
      </x:c>
      <x:c r="G363" s="6" t="n">
        <x:v>1</x:v>
      </x:c>
      <x:c r="H363" s="6" t="str">
        <x:v>Applied to CAD; LCSC live stock checked, unreserved; JLC review pending</x:v>
      </x:c>
    </x:row>
    <x:row r="364" ht="39.599998474121094" hidden="0" customHeight="1">
      <x:c r="A364" s="6" t="str">
        <x:v>2.80k</x:v>
      </x:c>
      <x:c r="B364" s="6" t="str">
        <x:v>R195</x:v>
      </x:c>
      <x:c r="C364" s="6" t="str">
        <x:v>0402</x:v>
      </x:c>
      <x:c r="D364" s="6" t="str">
        <x:v>PTFR0402B2K80P9</x:v>
      </x:c>
      <x:c r="E364" s="6" t="str">
        <x:v>RESI</x:v>
      </x:c>
      <x:c r="F364" s="6" t="str">
        <x:v>C2692906</x:v>
      </x:c>
      <x:c r="G364" s="6" t="n">
        <x:v>1</x:v>
      </x:c>
      <x:c r="H364" s="6" t="str">
        <x:v>Applied to CAD; LCSC live stock checked, unreserved; JLC review pending</x:v>
      </x:c>
    </x:row>
    <x:row r="365" ht="39.599998474121094" hidden="0" customHeight="1">
      <x:c r="A365" s="6" t="str">
        <x:v>2.80k</x:v>
      </x:c>
      <x:c r="B365" s="6" t="str">
        <x:v>R196</x:v>
      </x:c>
      <x:c r="C365" s="6" t="str">
        <x:v>0402</x:v>
      </x:c>
      <x:c r="D365" s="6" t="str">
        <x:v>PTFR0402B2K80P9</x:v>
      </x:c>
      <x:c r="E365" s="6" t="str">
        <x:v>RESI</x:v>
      </x:c>
      <x:c r="F365" s="6" t="str">
        <x:v>C2692906</x:v>
      </x:c>
      <x:c r="G365" s="6" t="n">
        <x:v>1</x:v>
      </x:c>
      <x:c r="H365" s="6" t="str">
        <x:v>Applied to CAD; LCSC live stock checked, unreserved; JLC review pending</x:v>
      </x:c>
    </x:row>
    <x:row r="366" ht="39.599998474121094" hidden="0" customHeight="1">
      <x:c r="A366" s="6" t="str">
        <x:v>4.7Ω</x:v>
      </x:c>
      <x:c r="B366" s="6" t="str">
        <x:v>R197</x:v>
      </x:c>
      <x:c r="C366" s="6" t="str">
        <x:v>0402</x:v>
      </x:c>
      <x:c r="D366" s="6" t="str">
        <x:v>RCS04024R70FKED</x:v>
      </x:c>
      <x:c r="E366" s="6" t="str">
        <x:v>VISHAY</x:v>
      </x:c>
      <x:c r="F366" s="6" t="str">
        <x:v>C2103244</x:v>
      </x:c>
      <x:c r="G366" s="6" t="n">
        <x:v>1</x:v>
      </x:c>
      <x:c r="H366" s="6" t="str">
        <x:v>Applied to CAD; LCSC live stock checked, unreserved; JLC review pending</x:v>
      </x:c>
    </x:row>
    <x:row r="367" ht="26.399999618530273" hidden="0" customHeight="1">
      <x:c r="A367" s="6" t="str">
        <x:v>15.4k 0.1% 25 ppm/K or better</x:v>
      </x:c>
      <x:c r="B367" s="6" t="str">
        <x:v>R198</x:v>
      </x:c>
      <x:c r="C367" s="6" t="str">
        <x:v>0402</x:v>
      </x:c>
      <x:c r="D367" s="6" t="str">
        <x:v>RT0402BRD0715K4L</x:v>
      </x:c>
      <x:c r="E367" s="6" t="str">
        <x:v>YAGEO(国巨)</x:v>
      </x:c>
      <x:c r="F367" s="6" t="str">
        <x:v>C852543</x:v>
      </x:c>
      <x:c r="G367" s="6" t="n">
        <x:v>1</x:v>
      </x:c>
      <x:c r="H367" s="6" t="str">
        <x:v>Proposed new MPN; verify stock/package</x:v>
      </x:c>
    </x:row>
    <x:row r="368" ht="26.399999618530273" hidden="0" customHeight="1">
      <x:c r="A368" s="6" t="str">
        <x:v>10.0k 0.1% 25 ppm/K or better</x:v>
      </x:c>
      <x:c r="B368" s="6" t="str">
        <x:v>R199</x:v>
      </x:c>
      <x:c r="C368" s="6" t="str">
        <x:v>0402</x:v>
      </x:c>
      <x:c r="D368" s="6" t="str">
        <x:v>RT0402BRD0710KL</x:v>
      </x:c>
      <x:c r="E368" s="6" t="str">
        <x:v>YAGEO(国巨)</x:v>
      </x:c>
      <x:c r="F368" s="6" t="str">
        <x:v>C190095</x:v>
      </x:c>
      <x:c r="G368" s="6" t="n">
        <x:v>1</x:v>
      </x:c>
      <x:c r="H368" s="6" t="str">
        <x:v>Proposed new MPN; verify stock/package</x:v>
      </x:c>
    </x:row>
    <x:row r="369" ht="39.599998474121094" hidden="0" customHeight="1">
      <x:c r="A369" s="6" t="str">
        <x:v>4.7Ω</x:v>
      </x:c>
      <x:c r="B369" s="6" t="str">
        <x:v>R200</x:v>
      </x:c>
      <x:c r="C369" s="6" t="str">
        <x:v>0402</x:v>
      </x:c>
      <x:c r="D369" s="6" t="str">
        <x:v>RCS04024R70FKED</x:v>
      </x:c>
      <x:c r="E369" s="6" t="str">
        <x:v>VISHAY</x:v>
      </x:c>
      <x:c r="F369" s="6" t="str">
        <x:v>C2103244</x:v>
      </x:c>
      <x:c r="G369" s="6" t="n">
        <x:v>1</x:v>
      </x:c>
      <x:c r="H369" s="6" t="str">
        <x:v>Applied to CAD; LCSC live stock checked, unreserved; JLC review pending</x:v>
      </x:c>
    </x:row>
    <x:row r="370" ht="39.599998474121094" hidden="0" customHeight="1">
      <x:c r="A370" s="6" t="str">
        <x:v>1.2Ω</x:v>
      </x:c>
      <x:c r="B370" s="6" t="str">
        <x:v>R201</x:v>
      </x:c>
      <x:c r="C370" s="6" t="str">
        <x:v>0402</x:v>
      </x:c>
      <x:c r="D370" s="6" t="str">
        <x:v>0402WGF120KTCE</x:v>
      </x:c>
      <x:c r="E370" s="6" t="str">
        <x:v>UNI-ROYAL(厚声)</x:v>
      </x:c>
      <x:c r="F370" s="6" t="str">
        <x:v>C44198</x:v>
      </x:c>
      <x:c r="G370" s="6" t="n">
        <x:v>1</x:v>
      </x:c>
      <x:c r="H370" s="6" t="str">
        <x:v>Applied to CAD; LCSC live stock checked, unreserved; JLC review pending</x:v>
      </x:c>
    </x:row>
    <x:row r="371" ht="39.599998474121094" hidden="0" customHeight="1">
      <x:c r="A371" s="6" t="str">
        <x:v>14.7kΩ</x:v>
      </x:c>
      <x:c r="B371" s="6" t="str">
        <x:v>R202</x:v>
      </x:c>
      <x:c r="C371" s="6" t="str">
        <x:v>0402</x:v>
      </x:c>
      <x:c r="D371" s="6" t="str">
        <x:v>PTFR0402B14K7N9</x:v>
      </x:c>
      <x:c r="E371" s="6" t="str">
        <x:v>RESI(开步睿思)</x:v>
      </x:c>
      <x:c r="F371" s="6" t="str">
        <x:v>C2693067</x:v>
      </x:c>
      <x:c r="G371" s="6" t="n">
        <x:v>1</x:v>
      </x:c>
      <x:c r="H371" s="6" t="str">
        <x:v>Applied to CAD; LCSC live stock checked, unreserved; JLC review pending</x:v>
      </x:c>
    </x:row>
    <x:row r="372" ht="39.599998474121094" hidden="0" customHeight="1">
      <x:c r="A372" s="6" t="str">
        <x:v>9.31kΩ</x:v>
      </x:c>
      <x:c r="B372" s="6" t="str">
        <x:v>R203</x:v>
      </x:c>
      <x:c r="C372" s="6" t="str">
        <x:v>0402</x:v>
      </x:c>
      <x:c r="D372" s="6" t="str">
        <x:v>PTFR0402B9K31N9</x:v>
      </x:c>
      <x:c r="E372" s="6" t="str">
        <x:v>RESI(开步睿思)</x:v>
      </x:c>
      <x:c r="F372" s="6" t="str">
        <x:v>C2692924</x:v>
      </x:c>
      <x:c r="G372" s="6" t="n">
        <x:v>1</x:v>
      </x:c>
      <x:c r="H372" s="6" t="str">
        <x:v>Applied to CAD; LCSC live stock checked, unreserved; JLC review pending</x:v>
      </x:c>
    </x:row>
    <x:row r="373" ht="26.399999618530273" hidden="0" customHeight="1">
      <x:c r="A373" s="6" t="str">
        <x:v>1.00k 1% 25 ppm/K or better</x:v>
      </x:c>
      <x:c r="B373" s="6" t="str">
        <x:v>R204</x:v>
      </x:c>
      <x:c r="C373" s="6" t="str">
        <x:v>0402</x:v>
      </x:c>
      <x:c r="D373" s="6" t="str">
        <x:v>RT0402FRD071KL</x:v>
      </x:c>
      <x:c r="E373" s="6" t="str">
        <x:v>YAGEO(国巨)</x:v>
      </x:c>
      <x:c r="F373" s="6" t="str">
        <x:v>C4137342</x:v>
      </x:c>
      <x:c r="G373" s="6" t="n">
        <x:v>1</x:v>
      </x:c>
      <x:c r="H373" s="6" t="str">
        <x:v>Proposed new MPN; verify stock/package</x:v>
      </x:c>
    </x:row>
    <x:row r="374" ht="26.399999618530273" hidden="0" customHeight="1">
      <x:c r="A374" s="6" t="str">
        <x:v>GT-TC089B-H075-L1</x:v>
      </x:c>
      <x:c r="B374" s="6" t="str">
        <x:v>SW1</x:v>
      </x:c>
      <x:c r="C374" s="6" t="str">
        <x:v>SMD-2</x:v>
      </x:c>
      <x:c r="D374" s="6" t="str">
        <x:v>GT-TC089B-H075-L1</x:v>
      </x:c>
      <x:c r="E374" s="6" t="str">
        <x:v>G-Switch(品赞)</x:v>
      </x:c>
      <x:c r="F374" s="6" t="str">
        <x:v>C843638</x:v>
      </x:c>
      <x:c r="G374" s="6" t="n">
        <x:v>1</x:v>
      </x:c>
      <x:c r="H374" s="6" t="str">
        <x:v>Exact MPN; verify stock/package</x:v>
      </x:c>
    </x:row>
    <x:row r="375" ht="26.399999618530273" hidden="0" customHeight="1">
      <x:c r="A375" s="6" t="str">
        <x:v>KMS-1102NL</x:v>
      </x:c>
      <x:c r="B375" s="6" t="str">
        <x:v>TR1</x:v>
      </x:c>
      <x:c r="C375" s="6" t="str">
        <x:v>SMD-16</x:v>
      </x:c>
      <x:c r="D375" s="6" t="str">
        <x:v>KMS-1102NL</x:v>
      </x:c>
      <x:c r="E375" s="6" t="str">
        <x:v>USAKRO(美韩)</x:v>
      </x:c>
      <x:c r="F375" s="6" t="str">
        <x:v>C19725172</x:v>
      </x:c>
      <x:c r="G375" s="6" t="n">
        <x:v>1</x:v>
      </x:c>
      <x:c r="H375" s="6" t="str">
        <x:v>Exact MPN; verify stock/package</x:v>
      </x:c>
    </x:row>
    <x:row r="376" ht="26.399999618530273" hidden="0" customHeight="1">
      <x:c r="A376" s="6" t="str">
        <x:v>USBLC6-4SC6</x:v>
      </x:c>
      <x:c r="B376" s="6" t="str">
        <x:v>TVS1</x:v>
      </x:c>
      <x:c r="C376" s="6" t="str">
        <x:v>SOT-23-6</x:v>
      </x:c>
      <x:c r="D376" s="6" t="str">
        <x:v>USBLC6-4SC6</x:v>
      </x:c>
      <x:c r="E376" s="6" t="str"/>
      <x:c r="F376" s="6" t="str">
        <x:v>C252436</x:v>
      </x:c>
      <x:c r="G376" s="6" t="n">
        <x:v>1</x:v>
      </x:c>
      <x:c r="H376" s="6" t="str">
        <x:v>Exact MPN; verify stock/package</x:v>
      </x:c>
    </x:row>
    <x:row r="377" ht="26.399999618530273" hidden="0" customHeight="1">
      <x:c r="A377" s="6" t="str">
        <x:v>USBLC6-2SC6</x:v>
      </x:c>
      <x:c r="B377" s="6" t="str">
        <x:v>TVS2</x:v>
      </x:c>
      <x:c r="C377" s="6" t="str">
        <x:v>SOT-23-6</x:v>
      </x:c>
      <x:c r="D377" s="6" t="str">
        <x:v>USBLC6-2SC6</x:v>
      </x:c>
      <x:c r="E377" s="6" t="str"/>
      <x:c r="F377" s="6" t="str">
        <x:v>C323793</x:v>
      </x:c>
      <x:c r="G377" s="6" t="n">
        <x:v>1</x:v>
      </x:c>
      <x:c r="H377" s="6" t="str">
        <x:v>Exact MPN; verify stock/package</x:v>
      </x:c>
    </x:row>
    <x:row r="378" ht="26.399999618530273" hidden="0" customHeight="1">
      <x:c r="A378" s="6" t="str">
        <x:v>USBLC6-2SC6</x:v>
      </x:c>
      <x:c r="B378" s="6" t="str">
        <x:v>TVS3</x:v>
      </x:c>
      <x:c r="C378" s="6" t="str">
        <x:v>SOT-23-6</x:v>
      </x:c>
      <x:c r="D378" s="6" t="str">
        <x:v>USBLC6-2SC6</x:v>
      </x:c>
      <x:c r="E378" s="6" t="str"/>
      <x:c r="F378" s="6" t="str">
        <x:v>C323793</x:v>
      </x:c>
      <x:c r="G378" s="6" t="n">
        <x:v>1</x:v>
      </x:c>
      <x:c r="H378" s="6" t="str">
        <x:v>Exact MPN; verify stock/package</x:v>
      </x:c>
    </x:row>
    <x:row r="379" ht="26.399999618530273" hidden="0" customHeight="1">
      <x:c r="A379" s="6" t="str">
        <x:v>STM32H747XIH6</x:v>
      </x:c>
      <x:c r="B379" s="6" t="str">
        <x:v>U1</x:v>
      </x:c>
      <x:c r="C379" s="6" t="str">
        <x:v>TFBGA-265</x:v>
      </x:c>
      <x:c r="D379" s="6" t="str">
        <x:v>STM32H747XIH6</x:v>
      </x:c>
      <x:c r="E379" s="6" t="str">
        <x:v>ST(意法半导体)</x:v>
      </x:c>
      <x:c r="F379" s="6" t="str">
        <x:v>C5271089</x:v>
      </x:c>
      <x:c r="G379" s="6" t="n">
        <x:v>1</x:v>
      </x:c>
      <x:c r="H379" s="6" t="str">
        <x:v>Exact MPN; verify stock/package</x:v>
      </x:c>
    </x:row>
    <x:row r="380" ht="26.399999618530273" hidden="0" customHeight="1">
      <x:c r="A380" s="6" t="str">
        <x:v>LD1117S18TR</x:v>
      </x:c>
      <x:c r="B380" s="6" t="str">
        <x:v>U2</x:v>
      </x:c>
      <x:c r="C380" s="6" t="str">
        <x:v>SOT-223</x:v>
      </x:c>
      <x:c r="D380" s="6" t="str">
        <x:v>LD1117S18TR</x:v>
      </x:c>
      <x:c r="E380" s="6" t="str">
        <x:v>ST(意法半导体)</x:v>
      </x:c>
      <x:c r="F380" s="6" t="str">
        <x:v>C80598</x:v>
      </x:c>
      <x:c r="G380" s="6" t="n">
        <x:v>1</x:v>
      </x:c>
      <x:c r="H380" s="6" t="str">
        <x:v>Exact MPN; verify stock/package</x:v>
      </x:c>
    </x:row>
    <x:row r="381" ht="26.399999618530273" hidden="0" customHeight="1">
      <x:c r="A381" s="6" t="str">
        <x:v>ST1L05CPU33R</x:v>
      </x:c>
      <x:c r="B381" s="6" t="str">
        <x:v>U3</x:v>
      </x:c>
      <x:c r="C381" s="6" t="str">
        <x:v>DFN-6 (3x3mm)</x:v>
      </x:c>
      <x:c r="D381" s="6" t="str">
        <x:v>ST1L05CPU33R</x:v>
      </x:c>
      <x:c r="E381" s="6" t="str">
        <x:v>ST(意法半导体)</x:v>
      </x:c>
      <x:c r="F381" s="6" t="str">
        <x:v>C2969933</x:v>
      </x:c>
      <x:c r="G381" s="6" t="n">
        <x:v>1</x:v>
      </x:c>
      <x:c r="H381" s="6" t="str">
        <x:v>Exact MPN; verify stock/package</x:v>
      </x:c>
    </x:row>
    <x:row r="382" ht="26.399999618530273" hidden="0" customHeight="1">
      <x:c r="A382" s="6" t="str">
        <x:v>IS42S32160F-6BLI</x:v>
      </x:c>
      <x:c r="B382" s="6" t="str">
        <x:v>U4</x:v>
      </x:c>
      <x:c r="C382" s="6" t="str">
        <x:v>TFBGA-90 (8x13mm)</x:v>
      </x:c>
      <x:c r="D382" s="6" t="str">
        <x:v>IS42S32160F-6BLI</x:v>
      </x:c>
      <x:c r="E382" s="6" t="str">
        <x:v>ISSI(北京矽成)</x:v>
      </x:c>
      <x:c r="F382" s="6" t="str">
        <x:v>C1348852</x:v>
      </x:c>
      <x:c r="G382" s="6" t="n">
        <x:v>1</x:v>
      </x:c>
      <x:c r="H382" s="6" t="str">
        <x:v>Exact MPN; verify stock/package</x:v>
      </x:c>
    </x:row>
    <x:row r="383" ht="26.399999618530273" hidden="0" customHeight="1">
      <x:c r="A383" s="6" t="str">
        <x:v>LAN8742A</x:v>
      </x:c>
      <x:c r="B383" s="6" t="str">
        <x:v>U5</x:v>
      </x:c>
      <x:c r="C383" s="6" t="str">
        <x:v>SQFN-24</x:v>
      </x:c>
      <x:c r="D383" s="6" t="str">
        <x:v>LAN8742A-CZ-TR</x:v>
      </x:c>
      <x:c r="E383" s="6" t="str">
        <x:v>MICROCHIP(美国微芯)</x:v>
      </x:c>
      <x:c r="F383" s="6" t="str">
        <x:v>C621424</x:v>
      </x:c>
      <x:c r="G383" s="6" t="n">
        <x:v>1</x:v>
      </x:c>
      <x:c r="H383" s="6" t="str">
        <x:v>Exact MPN; verify stock/package</x:v>
      </x:c>
    </x:row>
    <x:row r="384" ht="26.399999618530273" hidden="0" customHeight="1">
      <x:c r="A384" s="6" t="str">
        <x:v>STS5PF30L</x:v>
      </x:c>
      <x:c r="B384" s="6" t="str">
        <x:v>U6</x:v>
      </x:c>
      <x:c r="C384" s="6" t="str">
        <x:v>SOIC-8</x:v>
      </x:c>
      <x:c r="D384" s="6" t="str">
        <x:v>STS5PF30L</x:v>
      </x:c>
      <x:c r="E384" s="6" t="str"/>
      <x:c r="F384" s="6" t="str"/>
      <x:c r="G384" s="6" t="n">
        <x:v>1</x:v>
      </x:c>
      <x:c r="H384" s="6" t="str">
        <x:v>Exact MPN; verify stock/package</x:v>
      </x:c>
    </x:row>
    <x:row r="385" ht="26.399999618530273" hidden="0" customHeight="1">
      <x:c r="A385" s="6" t="str">
        <x:v>USB3320C-EZK</x:v>
      </x:c>
      <x:c r="B385" s="6" t="str">
        <x:v>U7</x:v>
      </x:c>
      <x:c r="C385" s="6" t="str">
        <x:v>QFN-32</x:v>
      </x:c>
      <x:c r="D385" s="6" t="str">
        <x:v>USB3320C-EZK</x:v>
      </x:c>
      <x:c r="E385" s="6" t="str">
        <x:v>MICROCHIP(美国微芯)</x:v>
      </x:c>
      <x:c r="F385" s="6" t="str">
        <x:v>C52447</x:v>
      </x:c>
      <x:c r="G385" s="6" t="n">
        <x:v>1</x:v>
      </x:c>
      <x:c r="H385" s="6" t="str">
        <x:v>Exact MPN; verify stock/package</x:v>
      </x:c>
    </x:row>
    <x:row r="386" ht="26.399999618530273" hidden="0" customHeight="1">
      <x:c r="A386" s="6" t="str">
        <x:v>CH340C</x:v>
      </x:c>
      <x:c r="B386" s="6" t="str">
        <x:v>U8</x:v>
      </x:c>
      <x:c r="C386" s="6" t="str">
        <x:v>SOIC-8</x:v>
      </x:c>
      <x:c r="D386" s="6" t="str">
        <x:v>CH340C</x:v>
      </x:c>
      <x:c r="E386" s="6" t="str">
        <x:v>WCH(南京沁恒)</x:v>
      </x:c>
      <x:c r="F386" s="6" t="str">
        <x:v>C84681</x:v>
      </x:c>
      <x:c r="G386" s="6" t="n">
        <x:v>1</x:v>
      </x:c>
      <x:c r="H386" s="6" t="str">
        <x:v>Exact MPN; verify stock/package</x:v>
      </x:c>
    </x:row>
    <x:row r="387" ht="39.599998474121094" hidden="0" customHeight="1">
      <x:c r="A387" s="6" t="str">
        <x:v>REF5025AID</x:v>
      </x:c>
      <x:c r="B387" s="6" t="str">
        <x:v>U9</x:v>
      </x:c>
      <x:c r="C387" s="6" t="str">
        <x:v>STM_H747_ADC_LABTOOL_20261018_TI_D0008A_SOIC8_1P27</x:v>
      </x:c>
      <x:c r="D387" s="6" t="str">
        <x:v>REF5025AID</x:v>
      </x:c>
      <x:c r="E387" s="6" t="str">
        <x:v>Texas Instruments</x:v>
      </x:c>
      <x:c r="F387" s="6" t="str">
        <x:v>C1575305</x:v>
      </x:c>
      <x:c r="G387" s="6" t="n">
        <x:v>1</x:v>
      </x:c>
      <x:c r="H387" s="6" t="str">
        <x:v>Exact MPN; verify stock/package</x:v>
      </x:c>
    </x:row>
    <x:row r="388" ht="39.599998474121094" hidden="0" customHeight="1">
      <x:c r="A388" s="6" t="str">
        <x:v>OPA320AIDBVR</x:v>
      </x:c>
      <x:c r="B388" s="6" t="str">
        <x:v>U10</x:v>
      </x:c>
      <x:c r="C388" s="6" t="str">
        <x:v>STM_H747_ADC_DC_20261016_ADC_DC_TI_DBV0005A_SOT23_5</x:v>
      </x:c>
      <x:c r="D388" s="6" t="str">
        <x:v>OPA320AIDBVR</x:v>
      </x:c>
      <x:c r="E388" s="6" t="str">
        <x:v>Texas Instruments</x:v>
      </x:c>
      <x:c r="F388" s="6" t="str">
        <x:v>C92494</x:v>
      </x:c>
      <x:c r="G388" s="6" t="n">
        <x:v>1</x:v>
      </x:c>
      <x:c r="H388" s="6" t="str">
        <x:v>Exact MPN; verify stock/package</x:v>
      </x:c>
    </x:row>
    <x:row r="389" ht="39.599998474121094" hidden="0" customHeight="1">
      <x:c r="A389" s="6" t="str">
        <x:v>OPA320AIDBVR</x:v>
      </x:c>
      <x:c r="B389" s="6" t="str">
        <x:v>U11</x:v>
      </x:c>
      <x:c r="C389" s="6" t="str">
        <x:v>STM_H747_ADC_DC_20261016_ADC_DC_TI_DBV0005A_SOT23_5</x:v>
      </x:c>
      <x:c r="D389" s="6" t="str">
        <x:v>OPA320AIDBVR</x:v>
      </x:c>
      <x:c r="E389" s="6" t="str">
        <x:v>Texas Instruments</x:v>
      </x:c>
      <x:c r="F389" s="6" t="str">
        <x:v>C92494</x:v>
      </x:c>
      <x:c r="G389" s="6" t="n">
        <x:v>1</x:v>
      </x:c>
      <x:c r="H389" s="6" t="str">
        <x:v>Exact MPN; verify stock/package</x:v>
      </x:c>
    </x:row>
    <x:row r="390" ht="39.599998474121094" hidden="0" customHeight="1">
      <x:c r="A390" s="6" t="str">
        <x:v>OPA320AIDBVR</x:v>
      </x:c>
      <x:c r="B390" s="6" t="str">
        <x:v>U12</x:v>
      </x:c>
      <x:c r="C390" s="6" t="str">
        <x:v>STM_H747_ADC_DC_20261016_ADC_DC_TI_DBV0005A_SOT23_5</x:v>
      </x:c>
      <x:c r="D390" s="6" t="str">
        <x:v>OPA320AIDBVR</x:v>
      </x:c>
      <x:c r="E390" s="6" t="str">
        <x:v>Texas Instruments</x:v>
      </x:c>
      <x:c r="F390" s="6" t="str">
        <x:v>C92494</x:v>
      </x:c>
      <x:c r="G390" s="6" t="n">
        <x:v>1</x:v>
      </x:c>
      <x:c r="H390" s="6" t="str">
        <x:v>Exact MPN; verify stock/package</x:v>
      </x:c>
    </x:row>
    <x:row r="391" ht="39.599998474121094" hidden="0" customHeight="1">
      <x:c r="A391" s="6" t="str">
        <x:v>OPA320AIDBVR</x:v>
      </x:c>
      <x:c r="B391" s="6" t="str">
        <x:v>U13</x:v>
      </x:c>
      <x:c r="C391" s="6" t="str">
        <x:v>STM_H747_ADC_DC_20261016_ADC_DC_TI_DBV0005A_SOT23_5</x:v>
      </x:c>
      <x:c r="D391" s="6" t="str">
        <x:v>OPA320AIDBVR</x:v>
      </x:c>
      <x:c r="E391" s="6" t="str">
        <x:v>Texas Instruments</x:v>
      </x:c>
      <x:c r="F391" s="6" t="str">
        <x:v>C92494</x:v>
      </x:c>
      <x:c r="G391" s="6" t="n">
        <x:v>1</x:v>
      </x:c>
      <x:c r="H391" s="6" t="str">
        <x:v>Exact MPN; verify stock/package</x:v>
      </x:c>
    </x:row>
    <x:row r="392" ht="39.599998474121094" hidden="0" customHeight="1">
      <x:c r="A392" s="6" t="str">
        <x:v>OPA320AIDBVR</x:v>
      </x:c>
      <x:c r="B392" s="6" t="str">
        <x:v>U14</x:v>
      </x:c>
      <x:c r="C392" s="6" t="str">
        <x:v>STM_H747_ADC_DC_20261016_ADC_DC_TI_DBV0005A_SOT23_5</x:v>
      </x:c>
      <x:c r="D392" s="6" t="str">
        <x:v>OPA320AIDBVR</x:v>
      </x:c>
      <x:c r="E392" s="6" t="str">
        <x:v>Texas Instruments</x:v>
      </x:c>
      <x:c r="F392" s="6" t="str">
        <x:v>C92494</x:v>
      </x:c>
      <x:c r="G392" s="6" t="n">
        <x:v>1</x:v>
      </x:c>
      <x:c r="H392" s="6" t="str">
        <x:v>Exact MPN; verify stock/package</x:v>
      </x:c>
    </x:row>
    <x:row r="393" ht="39.599998474121094" hidden="0" customHeight="1">
      <x:c r="A393" s="6" t="str">
        <x:v>OPA320AIDBVR</x:v>
      </x:c>
      <x:c r="B393" s="6" t="str">
        <x:v>U15</x:v>
      </x:c>
      <x:c r="C393" s="6" t="str">
        <x:v>STM_H747_ADC_DC_20261016_ADC_DC_TI_DBV0005A_SOT23_5</x:v>
      </x:c>
      <x:c r="D393" s="6" t="str">
        <x:v>OPA320AIDBVR</x:v>
      </x:c>
      <x:c r="E393" s="6" t="str">
        <x:v>Texas Instruments</x:v>
      </x:c>
      <x:c r="F393" s="6" t="str">
        <x:v>C92494</x:v>
      </x:c>
      <x:c r="G393" s="6" t="n">
        <x:v>1</x:v>
      </x:c>
      <x:c r="H393" s="6" t="str">
        <x:v>Exact MPN; verify stock/package</x:v>
      </x:c>
    </x:row>
    <x:row r="394" ht="39.599998474121094" hidden="0" customHeight="1">
      <x:c r="A394" s="6" t="str">
        <x:v>OPA320AIDBVR</x:v>
      </x:c>
      <x:c r="B394" s="6" t="str">
        <x:v>U16</x:v>
      </x:c>
      <x:c r="C394" s="6" t="str">
        <x:v>STM_H747_ADC_DC_20261016_ADC_DC_TI_DBV0005A_SOT23_5</x:v>
      </x:c>
      <x:c r="D394" s="6" t="str">
        <x:v>OPA320AIDBVR</x:v>
      </x:c>
      <x:c r="E394" s="6" t="str">
        <x:v>Texas Instruments</x:v>
      </x:c>
      <x:c r="F394" s="6" t="str">
        <x:v>C92494</x:v>
      </x:c>
      <x:c r="G394" s="6" t="n">
        <x:v>1</x:v>
      </x:c>
      <x:c r="H394" s="6" t="str">
        <x:v>Exact MPN; verify stock/package</x:v>
      </x:c>
    </x:row>
    <x:row r="395" ht="39.599998474121094" hidden="0" customHeight="1">
      <x:c r="A395" s="6" t="str">
        <x:v>OPA320AIDBVR</x:v>
      </x:c>
      <x:c r="B395" s="6" t="str">
        <x:v>U17</x:v>
      </x:c>
      <x:c r="C395" s="6" t="str">
        <x:v>STM_H747_ADC_DC_20261016_ADC_DC_TI_DBV0005A_SOT23_5</x:v>
      </x:c>
      <x:c r="D395" s="6" t="str">
        <x:v>OPA320AIDBVR</x:v>
      </x:c>
      <x:c r="E395" s="6" t="str">
        <x:v>Texas Instruments</x:v>
      </x:c>
      <x:c r="F395" s="6" t="str">
        <x:v>C92494</x:v>
      </x:c>
      <x:c r="G395" s="6" t="n">
        <x:v>1</x:v>
      </x:c>
      <x:c r="H395" s="6" t="str">
        <x:v>Exact MPN; verify stock/package</x:v>
      </x:c>
    </x:row>
    <x:row r="396" ht="39.599998474121094" hidden="0" customHeight="1">
      <x:c r="A396" s="6" t="str">
        <x:v>OPA320AIDBVR</x:v>
      </x:c>
      <x:c r="B396" s="6" t="str">
        <x:v>U18</x:v>
      </x:c>
      <x:c r="C396" s="6" t="str">
        <x:v>STM_H747_ADC_DC_20261016_ADC_DC_TI_DBV0005A_SOT23_5</x:v>
      </x:c>
      <x:c r="D396" s="6" t="str">
        <x:v>OPA320AIDBVR</x:v>
      </x:c>
      <x:c r="E396" s="6" t="str">
        <x:v>Texas Instruments</x:v>
      </x:c>
      <x:c r="F396" s="6" t="str">
        <x:v>C92494</x:v>
      </x:c>
      <x:c r="G396" s="6" t="n">
        <x:v>1</x:v>
      </x:c>
      <x:c r="H396" s="6" t="str">
        <x:v>Exact MPN; verify stock/package</x:v>
      </x:c>
    </x:row>
    <x:row r="397" ht="39.599998474121094" hidden="0" customHeight="1">
      <x:c r="A397" s="6" t="str">
        <x:v>OPA320AIDBVR</x:v>
      </x:c>
      <x:c r="B397" s="6" t="str">
        <x:v>U19</x:v>
      </x:c>
      <x:c r="C397" s="6" t="str">
        <x:v>STM_H747_ADC_DC_20261016_ADC_DC_TI_DBV0005A_SOT23_5</x:v>
      </x:c>
      <x:c r="D397" s="6" t="str">
        <x:v>OPA320AIDBVR</x:v>
      </x:c>
      <x:c r="E397" s="6" t="str">
        <x:v>Texas Instruments</x:v>
      </x:c>
      <x:c r="F397" s="6" t="str">
        <x:v>C92494</x:v>
      </x:c>
      <x:c r="G397" s="6" t="n">
        <x:v>1</x:v>
      </x:c>
      <x:c r="H397" s="6" t="str">
        <x:v>Exact MPN; verify stock/package</x:v>
      </x:c>
    </x:row>
    <x:row r="398" ht="39.599998474121094" hidden="0" customHeight="1">
      <x:c r="A398" s="6" t="str">
        <x:v>OPA189IDBVR</x:v>
      </x:c>
      <x:c r="B398" s="6" t="str">
        <x:v>U20</x:v>
      </x:c>
      <x:c r="C398" s="6" t="str">
        <x:v>STM_H747_ADC_LABTOOL_20261018_TI_DBV0005A_SOT23_5</x:v>
      </x:c>
      <x:c r="D398" s="6" t="str">
        <x:v>OPA189IDBVR</x:v>
      </x:c>
      <x:c r="E398" s="6" t="str">
        <x:v>Texas Instruments</x:v>
      </x:c>
      <x:c r="F398" s="6" t="str">
        <x:v>C2058155</x:v>
      </x:c>
      <x:c r="G398" s="6" t="n">
        <x:v>1</x:v>
      </x:c>
      <x:c r="H398" s="6" t="str">
        <x:v>Exact MPN; verify stock/package</x:v>
      </x:c>
    </x:row>
    <x:row r="399" ht="39.599998474121094" hidden="0" customHeight="1">
      <x:c r="A399" s="6" t="str">
        <x:v>OPA189IDBVR</x:v>
      </x:c>
      <x:c r="B399" s="6" t="str">
        <x:v>U21</x:v>
      </x:c>
      <x:c r="C399" s="6" t="str">
        <x:v>STM_H747_ADC_LABTOOL_20261018_TI_DBV0005A_SOT23_5</x:v>
      </x:c>
      <x:c r="D399" s="6" t="str">
        <x:v>OPA189IDBVR</x:v>
      </x:c>
      <x:c r="E399" s="6" t="str">
        <x:v>Texas Instruments</x:v>
      </x:c>
      <x:c r="F399" s="6" t="str">
        <x:v>C2058155</x:v>
      </x:c>
      <x:c r="G399" s="6" t="n">
        <x:v>1</x:v>
      </x:c>
      <x:c r="H399" s="6" t="str">
        <x:v>Exact MPN; verify stock/package</x:v>
      </x:c>
    </x:row>
    <x:row r="400" ht="39.599998474121094" hidden="0" customHeight="1">
      <x:c r="A400" s="6" t="str">
        <x:v>OPA189IDBVR</x:v>
      </x:c>
      <x:c r="B400" s="6" t="str">
        <x:v>U22</x:v>
      </x:c>
      <x:c r="C400" s="6" t="str">
        <x:v>STM_H747_ADC_LABTOOL_20261018_TI_DBV0005A_SOT23_5</x:v>
      </x:c>
      <x:c r="D400" s="6" t="str">
        <x:v>OPA189IDBVR</x:v>
      </x:c>
      <x:c r="E400" s="6" t="str">
        <x:v>Texas Instruments</x:v>
      </x:c>
      <x:c r="F400" s="6" t="str">
        <x:v>C2058155</x:v>
      </x:c>
      <x:c r="G400" s="6" t="n">
        <x:v>1</x:v>
      </x:c>
      <x:c r="H400" s="6" t="str">
        <x:v>Exact MPN; verify stock/package</x:v>
      </x:c>
    </x:row>
    <x:row r="401" ht="39.599998474121094" hidden="0" customHeight="1">
      <x:c r="A401" s="6" t="str">
        <x:v>OPA189IDBVR</x:v>
      </x:c>
      <x:c r="B401" s="6" t="str">
        <x:v>U23</x:v>
      </x:c>
      <x:c r="C401" s="6" t="str">
        <x:v>STM_H747_ADC_LABTOOL_20261018_TI_DBV0005A_SOT23_5</x:v>
      </x:c>
      <x:c r="D401" s="6" t="str">
        <x:v>OPA189IDBVR</x:v>
      </x:c>
      <x:c r="E401" s="6" t="str">
        <x:v>Texas Instruments</x:v>
      </x:c>
      <x:c r="F401" s="6" t="str">
        <x:v>C2058155</x:v>
      </x:c>
      <x:c r="G401" s="6" t="n">
        <x:v>1</x:v>
      </x:c>
      <x:c r="H401" s="6" t="str">
        <x:v>Exact MPN; verify stock/package</x:v>
      </x:c>
    </x:row>
    <x:row r="402" ht="39.599998474121094" hidden="0" customHeight="1">
      <x:c r="A402" s="6" t="str">
        <x:v>OPA189IDBVR</x:v>
      </x:c>
      <x:c r="B402" s="6" t="str">
        <x:v>U24</x:v>
      </x:c>
      <x:c r="C402" s="6" t="str">
        <x:v>STM_H747_ADC_LABTOOL_20261018_TI_DBV0005A_SOT23_5</x:v>
      </x:c>
      <x:c r="D402" s="6" t="str">
        <x:v>OPA189IDBVR</x:v>
      </x:c>
      <x:c r="E402" s="6" t="str">
        <x:v>Texas Instruments</x:v>
      </x:c>
      <x:c r="F402" s="6" t="str">
        <x:v>C2058155</x:v>
      </x:c>
      <x:c r="G402" s="6" t="n">
        <x:v>1</x:v>
      </x:c>
      <x:c r="H402" s="6" t="str">
        <x:v>Exact MPN; verify stock/package</x:v>
      </x:c>
    </x:row>
    <x:row r="403" ht="39.599998474121094" hidden="0" customHeight="1">
      <x:c r="A403" s="6" t="str">
        <x:v>OPA189IDBVR</x:v>
      </x:c>
      <x:c r="B403" s="6" t="str">
        <x:v>U25</x:v>
      </x:c>
      <x:c r="C403" s="6" t="str">
        <x:v>STM_H747_ADC_LABTOOL_20261018_TI_DBV0005A_SOT23_5</x:v>
      </x:c>
      <x:c r="D403" s="6" t="str">
        <x:v>OPA189IDBVR</x:v>
      </x:c>
      <x:c r="E403" s="6" t="str">
        <x:v>Texas Instruments</x:v>
      </x:c>
      <x:c r="F403" s="6" t="str">
        <x:v>C2058155</x:v>
      </x:c>
      <x:c r="G403" s="6" t="n">
        <x:v>1</x:v>
      </x:c>
      <x:c r="H403" s="6" t="str">
        <x:v>Exact MPN; verify stock/package</x:v>
      </x:c>
    </x:row>
    <x:row r="404" ht="39.599998474121094" hidden="0" customHeight="1">
      <x:c r="A404" s="6" t="str">
        <x:v>OPA189IDBVR</x:v>
      </x:c>
      <x:c r="B404" s="6" t="str">
        <x:v>U26</x:v>
      </x:c>
      <x:c r="C404" s="6" t="str">
        <x:v>STM_H747_ADC_LABTOOL_20261018_TI_DBV0005A_SOT23_5</x:v>
      </x:c>
      <x:c r="D404" s="6" t="str">
        <x:v>OPA189IDBVR</x:v>
      </x:c>
      <x:c r="E404" s="6" t="str">
        <x:v>Texas Instruments</x:v>
      </x:c>
      <x:c r="F404" s="6" t="str">
        <x:v>C2058155</x:v>
      </x:c>
      <x:c r="G404" s="6" t="n">
        <x:v>1</x:v>
      </x:c>
      <x:c r="H404" s="6" t="str">
        <x:v>Exact MPN; verify stock/package</x:v>
      </x:c>
    </x:row>
    <x:row r="405" ht="39.599998474121094" hidden="0" customHeight="1">
      <x:c r="A405" s="6" t="str">
        <x:v>OPA189IDBVR</x:v>
      </x:c>
      <x:c r="B405" s="6" t="str">
        <x:v>U27</x:v>
      </x:c>
      <x:c r="C405" s="6" t="str">
        <x:v>STM_H747_ADC_LABTOOL_20261018_TI_DBV0005A_SOT23_5</x:v>
      </x:c>
      <x:c r="D405" s="6" t="str">
        <x:v>OPA189IDBVR</x:v>
      </x:c>
      <x:c r="E405" s="6" t="str">
        <x:v>Texas Instruments</x:v>
      </x:c>
      <x:c r="F405" s="6" t="str">
        <x:v>C2058155</x:v>
      </x:c>
      <x:c r="G405" s="6" t="n">
        <x:v>1</x:v>
      </x:c>
      <x:c r="H405" s="6" t="str">
        <x:v>Exact MPN; verify stock/package</x:v>
      </x:c>
    </x:row>
    <x:row r="406" ht="39.599998474121094" hidden="0" customHeight="1">
      <x:c r="A406" s="6" t="str">
        <x:v>OPA189IDBVR</x:v>
      </x:c>
      <x:c r="B406" s="6" t="str">
        <x:v>U28</x:v>
      </x:c>
      <x:c r="C406" s="6" t="str">
        <x:v>STM_H747_ADC_LABTOOL_20261018_TI_DBV0005A_SOT23_5</x:v>
      </x:c>
      <x:c r="D406" s="6" t="str">
        <x:v>OPA189IDBVR</x:v>
      </x:c>
      <x:c r="E406" s="6" t="str">
        <x:v>Texas Instruments</x:v>
      </x:c>
      <x:c r="F406" s="6" t="str">
        <x:v>C2058155</x:v>
      </x:c>
      <x:c r="G406" s="6" t="n">
        <x:v>1</x:v>
      </x:c>
      <x:c r="H406" s="6" t="str">
        <x:v>Exact MPN; verify stock/package</x:v>
      </x:c>
    </x:row>
    <x:row r="407" ht="39.599998474121094" hidden="0" customHeight="1">
      <x:c r="A407" s="6" t="str">
        <x:v>OPA189IDBVR</x:v>
      </x:c>
      <x:c r="B407" s="6" t="str">
        <x:v>U29</x:v>
      </x:c>
      <x:c r="C407" s="6" t="str">
        <x:v>STM_H747_ADC_LABTOOL_20261018_TI_DBV0005A_SOT23_5</x:v>
      </x:c>
      <x:c r="D407" s="6" t="str">
        <x:v>OPA189IDBVR</x:v>
      </x:c>
      <x:c r="E407" s="6" t="str">
        <x:v>Texas Instruments</x:v>
      </x:c>
      <x:c r="F407" s="6" t="str">
        <x:v>C2058155</x:v>
      </x:c>
      <x:c r="G407" s="6" t="n">
        <x:v>1</x:v>
      </x:c>
      <x:c r="H407" s="6" t="str">
        <x:v>Exact MPN; verify stock/package</x:v>
      </x:c>
    </x:row>
    <x:row r="408" ht="39.599998474121094" hidden="0" customHeight="1">
      <x:c r="A408" s="6" t="str">
        <x:v>TPS60403DBVR</x:v>
      </x:c>
      <x:c r="B408" s="6" t="str">
        <x:v>U30</x:v>
      </x:c>
      <x:c r="C408" s="6" t="str">
        <x:v>STM_H747_ADC_LABTOOL_20261018_TI_DBV0005A_SOT23_5</x:v>
      </x:c>
      <x:c r="D408" s="6" t="str">
        <x:v>TPS60403DBVR</x:v>
      </x:c>
      <x:c r="E408" s="6" t="str">
        <x:v>Texas Instruments</x:v>
      </x:c>
      <x:c r="F408" s="6" t="str">
        <x:v>C11338</x:v>
      </x:c>
      <x:c r="G408" s="6" t="n">
        <x:v>1</x:v>
      </x:c>
      <x:c r="H408" s="6" t="str">
        <x:v>Exact MPN; verify stock/package</x:v>
      </x:c>
    </x:row>
    <x:row r="409" ht="39.599998474121094" hidden="0" customHeight="1">
      <x:c r="A409" s="6" t="str">
        <x:v>TPS72301DBVR</x:v>
      </x:c>
      <x:c r="B409" s="6" t="str">
        <x:v>U31</x:v>
      </x:c>
      <x:c r="C409" s="6" t="str">
        <x:v>STM_H747_ADC_LABTOOL_20261018_TI_DBV0005A_SOT23_5</x:v>
      </x:c>
      <x:c r="D409" s="6" t="str">
        <x:v>TPS72301DBVR</x:v>
      </x:c>
      <x:c r="E409" s="6" t="str">
        <x:v>Texas Instruments</x:v>
      </x:c>
      <x:c r="F409" s="6" t="str">
        <x:v>C34678</x:v>
      </x:c>
      <x:c r="G409" s="6" t="n">
        <x:v>1</x:v>
      </x:c>
      <x:c r="H409" s="6" t="str">
        <x:v>Exact MPN; verify stock/package</x:v>
      </x:c>
    </x:row>
    <x:row r="410" ht="39.599998474121094" hidden="0" customHeight="1">
      <x:c r="A410" s="6" t="str">
        <x:v>OPA189IDBVR</x:v>
      </x:c>
      <x:c r="B410" s="6" t="str">
        <x:v>U32</x:v>
      </x:c>
      <x:c r="C410" s="6" t="str">
        <x:v>STM_H747_ADC_LABTOOL_20261018_TI_DBV0005A_SOT23_5</x:v>
      </x:c>
      <x:c r="D410" s="6" t="str">
        <x:v>OPA189IDBVR</x:v>
      </x:c>
      <x:c r="E410" s="6" t="str">
        <x:v>Texas Instruments</x:v>
      </x:c>
      <x:c r="F410" s="6" t="str">
        <x:v>C2058155</x:v>
      </x:c>
      <x:c r="G410" s="6" t="n">
        <x:v>1</x:v>
      </x:c>
      <x:c r="H410" s="6" t="str">
        <x:v>Exact MPN; verify stock/package</x:v>
      </x:c>
    </x:row>
    <x:row r="411" ht="26.399999618530273" hidden="0" customHeight="1">
      <x:c r="A411" s="6" t="str">
        <x:v>ECS-3225 (25MHz)</x:v>
      </x:c>
      <x:c r="B411" s="6" t="str">
        <x:v>X1</x:v>
      </x:c>
      <x:c r="C411" s="6" t="str">
        <x:v>SMD-4</x:v>
      </x:c>
      <x:c r="D411" s="6" t="str">
        <x:v>ECS-3225MV-250-CN-TR</x:v>
      </x:c>
      <x:c r="E411" s="6" t="str">
        <x:v>ECS</x:v>
      </x:c>
      <x:c r="F411" s="6" t="str">
        <x:v>C405480</x:v>
      </x:c>
      <x:c r="G411" s="6" t="n">
        <x:v>1</x:v>
      </x:c>
      <x:c r="H411" s="6" t="str">
        <x:v>Exact MPN; verify stock/package</x:v>
      </x:c>
    </x:row>
    <x:row r="412" ht="26.399999618530273" hidden="0" customHeight="1">
      <x:c r="A412" s="6" t="str">
        <x:v>ECS-3225 (24MHz)</x:v>
      </x:c>
      <x:c r="B412" s="6" t="str">
        <x:v>X2</x:v>
      </x:c>
      <x:c r="C412" s="6" t="str">
        <x:v>SMD-4</x:v>
      </x:c>
      <x:c r="D412" s="6" t="str">
        <x:v>ECS-3225MV-240-CN-TR</x:v>
      </x:c>
      <x:c r="E412" s="6" t="str">
        <x:v>ECS</x:v>
      </x:c>
      <x:c r="F412" s="6" t="str">
        <x:v>C405478</x:v>
      </x:c>
      <x:c r="G412" s="6" t="n">
        <x:v>1</x:v>
      </x:c>
      <x:c r="H412" s="6" t="str">
        <x:v>Exact MPN; verify stock/package</x:v>
      </x:c>
    </x:row>
    <x:row r="413" ht="26.399999618530273" hidden="0" customHeight="1">
      <x:c r="A413" s="6" t="str">
        <x:v>NX3215SA-32.768KHZ</x:v>
      </x:c>
      <x:c r="B413" s="6" t="str">
        <x:v>Y1</x:v>
      </x:c>
      <x:c r="C413" s="6" t="str">
        <x:v>SMD-2</x:v>
      </x:c>
      <x:c r="D413" s="6" t="str">
        <x:v>NX3215SA-32.768KHZ-EXS00A-MU00466</x:v>
      </x:c>
      <x:c r="E413" s="6" t="str">
        <x:v>NDK</x:v>
      </x:c>
      <x:c r="F413" s="6" t="str">
        <x:v>C70509</x:v>
      </x:c>
      <x:c r="G413" s="6" t="n">
        <x:v>1</x:v>
      </x:c>
      <x:c r="H413" s="6" t="str">
        <x:v>Exact MPN; verify stock/package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</x:cols>
  <x:sheetData>
    <x:row r="1" ht="15" hidden="0" customHeight="1">
      <x:c r="A1" s="5" t="str">
        <x:v>Designator</x:v>
      </x:c>
      <x:c r="B1" s="5" t="str">
        <x:v>Specified value</x:v>
      </x:c>
      <x:c r="C1" s="5" t="str">
        <x:v>Tolerance</x:v>
      </x:c>
      <x:c r="D1" s="5" t="str">
        <x:v>Voltage</x:v>
      </x:c>
      <x:c r="E1" s="5" t="str">
        <x:v>TCR</x:v>
      </x:c>
      <x:c r="F1" s="5" t="str">
        <x:v>Package</x:v>
      </x:c>
      <x:c r="G1" s="5" t="str">
        <x:v>Proposed MPN</x:v>
      </x:c>
      <x:c r="H1" s="5" t="str">
        <x:v>LCSC Part #</x:v>
      </x:c>
      <x:c r="I1" s="5" t="str">
        <x:v>Manufacturer</x:v>
      </x:c>
      <x:c r="J1" s="5" t="str">
        <x:v>Evidence</x:v>
      </x:c>
      <x:c r="K1" s="5" t="str">
        <x:v>Approval</x:v>
      </x:c>
    </x:row>
    <x:row r="2" ht="39.599998474121094" hidden="0" customHeight="1">
      <x:c r="A2" s="6" t="str">
        <x:v>C80</x:v>
      </x:c>
      <x:c r="B2" s="6" t="str">
        <x:v>10nF</x:v>
      </x:c>
      <x:c r="C2" s="6" t="str">
        <x:v>5%</x:v>
      </x:c>
      <x:c r="D2" s="6" t="str">
        <x:v>25 V or greater</x:v>
      </x:c>
      <x:c r="E2" s="6" t="str"/>
      <x:c r="F2" s="6" t="str">
        <x:v>0402</x:v>
      </x:c>
      <x:c r="G2" s="6" t="str">
        <x:v>GRM1555C1E103JE01D</x:v>
      </x:c>
      <x:c r="H2" s="6" t="str">
        <x:v>C3855387</x:v>
      </x:c>
      <x:c r="I2" s="6" t="str">
        <x:v>muRata(村田)</x:v>
      </x:c>
      <x:c r="J2" s="6" t="str">
        <x:v>native/search-passives.json or native/search-final-passives.json</x:v>
      </x:c>
      <x:c r="K2" s="6" t="str">
        <x:v>Sourcing proposal only; no CAD change or stock reservation</x:v>
      </x:c>
    </x:row>
    <x:row r="3" ht="39.599998474121094" hidden="0" customHeight="1">
      <x:c r="A3" s="6" t="str">
        <x:v>C81</x:v>
      </x:c>
      <x:c r="B3" s="6" t="str">
        <x:v>10nF</x:v>
      </x:c>
      <x:c r="C3" s="6" t="str">
        <x:v>5%</x:v>
      </x:c>
      <x:c r="D3" s="6" t="str">
        <x:v>25 V or greater</x:v>
      </x:c>
      <x:c r="E3" s="6" t="str"/>
      <x:c r="F3" s="6" t="str">
        <x:v>0402</x:v>
      </x:c>
      <x:c r="G3" s="6" t="str">
        <x:v>GRM1555C1E103JE01D</x:v>
      </x:c>
      <x:c r="H3" s="6" t="str">
        <x:v>C3855387</x:v>
      </x:c>
      <x:c r="I3" s="6" t="str">
        <x:v>muRata(村田)</x:v>
      </x:c>
      <x:c r="J3" s="6" t="str">
        <x:v>native/search-passives.json or native/search-final-passives.json</x:v>
      </x:c>
      <x:c r="K3" s="6" t="str">
        <x:v>Sourcing proposal only; no CAD change or stock reservation</x:v>
      </x:c>
    </x:row>
    <x:row r="4" ht="39.599998474121094" hidden="0" customHeight="1">
      <x:c r="A4" s="6" t="str">
        <x:v>C82</x:v>
      </x:c>
      <x:c r="B4" s="6" t="str">
        <x:v>10nF</x:v>
      </x:c>
      <x:c r="C4" s="6" t="str">
        <x:v>5%</x:v>
      </x:c>
      <x:c r="D4" s="6" t="str">
        <x:v>25 V or greater</x:v>
      </x:c>
      <x:c r="E4" s="6" t="str"/>
      <x:c r="F4" s="6" t="str">
        <x:v>0402</x:v>
      </x:c>
      <x:c r="G4" s="6" t="str">
        <x:v>GRM1555C1E103JE01D</x:v>
      </x:c>
      <x:c r="H4" s="6" t="str">
        <x:v>C3855387</x:v>
      </x:c>
      <x:c r="I4" s="6" t="str">
        <x:v>muRata(村田)</x:v>
      </x:c>
      <x:c r="J4" s="6" t="str">
        <x:v>native/search-passives.json or native/search-final-passives.json</x:v>
      </x:c>
      <x:c r="K4" s="6" t="str">
        <x:v>Sourcing proposal only; no CAD change or stock reservation</x:v>
      </x:c>
    </x:row>
    <x:row r="5" ht="39.599998474121094" hidden="0" customHeight="1">
      <x:c r="A5" s="6" t="str">
        <x:v>C86</x:v>
      </x:c>
      <x:c r="B5" s="6" t="str">
        <x:v>10nF</x:v>
      </x:c>
      <x:c r="C5" s="6" t="str">
        <x:v>5%</x:v>
      </x:c>
      <x:c r="D5" s="6" t="str">
        <x:v>25 V or greater</x:v>
      </x:c>
      <x:c r="E5" s="6" t="str"/>
      <x:c r="F5" s="6" t="str">
        <x:v>0402</x:v>
      </x:c>
      <x:c r="G5" s="6" t="str">
        <x:v>GRM1555C1E103JE01D</x:v>
      </x:c>
      <x:c r="H5" s="6" t="str">
        <x:v>C3855387</x:v>
      </x:c>
      <x:c r="I5" s="6" t="str">
        <x:v>muRata(村田)</x:v>
      </x:c>
      <x:c r="J5" s="6" t="str">
        <x:v>native/search-passives.json or native/search-final-passives.json</x:v>
      </x:c>
      <x:c r="K5" s="6" t="str">
        <x:v>Sourcing proposal only; no CAD change or stock reservation</x:v>
      </x:c>
    </x:row>
    <x:row r="6" ht="39.599998474121094" hidden="0" customHeight="1">
      <x:c r="A6" s="6" t="str">
        <x:v>C87</x:v>
      </x:c>
      <x:c r="B6" s="6" t="str">
        <x:v>10nF</x:v>
      </x:c>
      <x:c r="C6" s="6" t="str">
        <x:v>5%</x:v>
      </x:c>
      <x:c r="D6" s="6" t="str">
        <x:v>25 V or greater</x:v>
      </x:c>
      <x:c r="E6" s="6" t="str"/>
      <x:c r="F6" s="6" t="str">
        <x:v>0402</x:v>
      </x:c>
      <x:c r="G6" s="6" t="str">
        <x:v>GRM1555C1E103JE01D</x:v>
      </x:c>
      <x:c r="H6" s="6" t="str">
        <x:v>C3855387</x:v>
      </x:c>
      <x:c r="I6" s="6" t="str">
        <x:v>muRata(村田)</x:v>
      </x:c>
      <x:c r="J6" s="6" t="str">
        <x:v>native/search-passives.json or native/search-final-passives.json</x:v>
      </x:c>
      <x:c r="K6" s="6" t="str">
        <x:v>Sourcing proposal only; no CAD change or stock reservation</x:v>
      </x:c>
    </x:row>
    <x:row r="7" ht="39.599998474121094" hidden="0" customHeight="1">
      <x:c r="A7" s="6" t="str">
        <x:v>C88</x:v>
      </x:c>
      <x:c r="B7" s="6" t="str">
        <x:v>10nF</x:v>
      </x:c>
      <x:c r="C7" s="6" t="str">
        <x:v>5%</x:v>
      </x:c>
      <x:c r="D7" s="6" t="str">
        <x:v>25 V or greater</x:v>
      </x:c>
      <x:c r="E7" s="6" t="str"/>
      <x:c r="F7" s="6" t="str">
        <x:v>0402</x:v>
      </x:c>
      <x:c r="G7" s="6" t="str">
        <x:v>GRM1555C1E103JE01D</x:v>
      </x:c>
      <x:c r="H7" s="6" t="str">
        <x:v>C3855387</x:v>
      </x:c>
      <x:c r="I7" s="6" t="str">
        <x:v>muRata(村田)</x:v>
      </x:c>
      <x:c r="J7" s="6" t="str">
        <x:v>native/search-passives.json or native/search-final-passives.json</x:v>
      </x:c>
      <x:c r="K7" s="6" t="str">
        <x:v>Sourcing proposal only; no CAD change or stock reservation</x:v>
      </x:c>
    </x:row>
    <x:row r="8" ht="39.599998474121094" hidden="0" customHeight="1">
      <x:c r="A8" s="6" t="str">
        <x:v>C93</x:v>
      </x:c>
      <x:c r="B8" s="6" t="str">
        <x:v>10nF</x:v>
      </x:c>
      <x:c r="C8" s="6" t="str">
        <x:v>5%</x:v>
      </x:c>
      <x:c r="D8" s="6" t="str">
        <x:v>25 V or greater</x:v>
      </x:c>
      <x:c r="E8" s="6" t="str"/>
      <x:c r="F8" s="6" t="str">
        <x:v>0402</x:v>
      </x:c>
      <x:c r="G8" s="6" t="str">
        <x:v>GRM1555C1E103JE01D</x:v>
      </x:c>
      <x:c r="H8" s="6" t="str">
        <x:v>C3855387</x:v>
      </x:c>
      <x:c r="I8" s="6" t="str">
        <x:v>muRata(村田)</x:v>
      </x:c>
      <x:c r="J8" s="6" t="str">
        <x:v>native/search-passives.json or native/search-final-passives.json</x:v>
      </x:c>
      <x:c r="K8" s="6" t="str">
        <x:v>Sourcing proposal only; no CAD change or stock reservation</x:v>
      </x:c>
    </x:row>
    <x:row r="9" ht="39.599998474121094" hidden="0" customHeight="1">
      <x:c r="A9" s="6" t="str">
        <x:v>C94</x:v>
      </x:c>
      <x:c r="B9" s="6" t="str">
        <x:v>10nF</x:v>
      </x:c>
      <x:c r="C9" s="6" t="str">
        <x:v>5%</x:v>
      </x:c>
      <x:c r="D9" s="6" t="str">
        <x:v>25 V or greater</x:v>
      </x:c>
      <x:c r="E9" s="6" t="str"/>
      <x:c r="F9" s="6" t="str">
        <x:v>0402</x:v>
      </x:c>
      <x:c r="G9" s="6" t="str">
        <x:v>GRM1555C1E103JE01D</x:v>
      </x:c>
      <x:c r="H9" s="6" t="str">
        <x:v>C3855387</x:v>
      </x:c>
      <x:c r="I9" s="6" t="str">
        <x:v>muRata(村田)</x:v>
      </x:c>
      <x:c r="J9" s="6" t="str">
        <x:v>native/search-passives.json or native/search-final-passives.json</x:v>
      </x:c>
      <x:c r="K9" s="6" t="str">
        <x:v>Sourcing proposal only; no CAD change or stock reservation</x:v>
      </x:c>
    </x:row>
    <x:row r="10" ht="39.599998474121094" hidden="0" customHeight="1">
      <x:c r="A10" s="6" t="str">
        <x:v>C95</x:v>
      </x:c>
      <x:c r="B10" s="6" t="str">
        <x:v>10nF</x:v>
      </x:c>
      <x:c r="C10" s="6" t="str">
        <x:v>5%</x:v>
      </x:c>
      <x:c r="D10" s="6" t="str">
        <x:v>25 V or greater</x:v>
      </x:c>
      <x:c r="E10" s="6" t="str"/>
      <x:c r="F10" s="6" t="str">
        <x:v>0402</x:v>
      </x:c>
      <x:c r="G10" s="6" t="str">
        <x:v>GRM1555C1E103JE01D</x:v>
      </x:c>
      <x:c r="H10" s="6" t="str">
        <x:v>C3855387</x:v>
      </x:c>
      <x:c r="I10" s="6" t="str">
        <x:v>muRata(村田)</x:v>
      </x:c>
      <x:c r="J10" s="6" t="str">
        <x:v>native/search-passives.json or native/search-final-passives.json</x:v>
      </x:c>
      <x:c r="K10" s="6" t="str">
        <x:v>Sourcing proposal only; no CAD change or stock reservation</x:v>
      </x:c>
    </x:row>
    <x:row r="11" ht="39.599998474121094" hidden="0" customHeight="1">
      <x:c r="A11" s="6" t="str">
        <x:v>C96</x:v>
      </x:c>
      <x:c r="B11" s="6" t="str">
        <x:v>10nF</x:v>
      </x:c>
      <x:c r="C11" s="6" t="str">
        <x:v>5%</x:v>
      </x:c>
      <x:c r="D11" s="6" t="str">
        <x:v>25 V or greater</x:v>
      </x:c>
      <x:c r="E11" s="6" t="str"/>
      <x:c r="F11" s="6" t="str">
        <x:v>0402</x:v>
      </x:c>
      <x:c r="G11" s="6" t="str">
        <x:v>GRM1555C1E103JE01D</x:v>
      </x:c>
      <x:c r="H11" s="6" t="str">
        <x:v>C3855387</x:v>
      </x:c>
      <x:c r="I11" s="6" t="str">
        <x:v>muRata(村田)</x:v>
      </x:c>
      <x:c r="J11" s="6" t="str">
        <x:v>native/search-passives.json or native/search-final-passives.json</x:v>
      </x:c>
      <x:c r="K11" s="6" t="str">
        <x:v>Sourcing proposal only; no CAD change or stock reservation</x:v>
      </x:c>
    </x:row>
    <x:row r="12" ht="39.599998474121094" hidden="0" customHeight="1">
      <x:c r="A12" s="6" t="str">
        <x:v>C97</x:v>
      </x:c>
      <x:c r="B12" s="6" t="str">
        <x:v>10nF</x:v>
      </x:c>
      <x:c r="C12" s="6" t="str">
        <x:v>5%</x:v>
      </x:c>
      <x:c r="D12" s="6" t="str">
        <x:v>25 V or greater</x:v>
      </x:c>
      <x:c r="E12" s="6" t="str"/>
      <x:c r="F12" s="6" t="str">
        <x:v>0402</x:v>
      </x:c>
      <x:c r="G12" s="6" t="str">
        <x:v>GRM1555C1E103JE01D</x:v>
      </x:c>
      <x:c r="H12" s="6" t="str">
        <x:v>C3855387</x:v>
      </x:c>
      <x:c r="I12" s="6" t="str">
        <x:v>muRata(村田)</x:v>
      </x:c>
      <x:c r="J12" s="6" t="str">
        <x:v>native/search-passives.json or native/search-final-passives.json</x:v>
      </x:c>
      <x:c r="K12" s="6" t="str">
        <x:v>Sourcing proposal only; no CAD change or stock reservation</x:v>
      </x:c>
    </x:row>
    <x:row r="13" ht="39.599998474121094" hidden="0" customHeight="1">
      <x:c r="A13" s="6" t="str">
        <x:v>C98</x:v>
      </x:c>
      <x:c r="B13" s="6" t="str">
        <x:v>10nF</x:v>
      </x:c>
      <x:c r="C13" s="6" t="str">
        <x:v>5%</x:v>
      </x:c>
      <x:c r="D13" s="6" t="str">
        <x:v>25 V or greater</x:v>
      </x:c>
      <x:c r="E13" s="6" t="str"/>
      <x:c r="F13" s="6" t="str">
        <x:v>0402</x:v>
      </x:c>
      <x:c r="G13" s="6" t="str">
        <x:v>GRM1555C1E103JE01D</x:v>
      </x:c>
      <x:c r="H13" s="6" t="str">
        <x:v>C3855387</x:v>
      </x:c>
      <x:c r="I13" s="6" t="str">
        <x:v>muRata(村田)</x:v>
      </x:c>
      <x:c r="J13" s="6" t="str">
        <x:v>native/search-passives.json or native/search-final-passives.json</x:v>
      </x:c>
      <x:c r="K13" s="6" t="str">
        <x:v>Sourcing proposal only; no CAD change or stock reservation</x:v>
      </x:c>
    </x:row>
    <x:row r="14" ht="39.599998474121094" hidden="0" customHeight="1">
      <x:c r="A14" s="6" t="str">
        <x:v>C99</x:v>
      </x:c>
      <x:c r="B14" s="6" t="str">
        <x:v>10nF</x:v>
      </x:c>
      <x:c r="C14" s="6" t="str">
        <x:v>5%</x:v>
      </x:c>
      <x:c r="D14" s="6" t="str">
        <x:v>25 V or greater</x:v>
      </x:c>
      <x:c r="E14" s="6" t="str"/>
      <x:c r="F14" s="6" t="str">
        <x:v>0402</x:v>
      </x:c>
      <x:c r="G14" s="6" t="str">
        <x:v>GRM1555C1E103JE01D</x:v>
      </x:c>
      <x:c r="H14" s="6" t="str">
        <x:v>C3855387</x:v>
      </x:c>
      <x:c r="I14" s="6" t="str">
        <x:v>muRata(村田)</x:v>
      </x:c>
      <x:c r="J14" s="6" t="str">
        <x:v>native/search-passives.json or native/search-final-passives.json</x:v>
      </x:c>
      <x:c r="K14" s="6" t="str">
        <x:v>Sourcing proposal only; no CAD change or stock reservation</x:v>
      </x:c>
    </x:row>
    <x:row r="15" ht="39.599998474121094" hidden="0" customHeight="1">
      <x:c r="A15" s="6" t="str">
        <x:v>C100</x:v>
      </x:c>
      <x:c r="B15" s="6" t="str">
        <x:v>100nF</x:v>
      </x:c>
      <x:c r="C15" s="6" t="str"/>
      <x:c r="D15" s="6" t="str">
        <x:v>10 V or greater</x:v>
      </x:c>
      <x:c r="E15" s="6" t="str"/>
      <x:c r="F15" s="6" t="str">
        <x:v>0402</x:v>
      </x:c>
      <x:c r="G15" s="6" t="str">
        <x:v>CL05B104KO5NNNC</x:v>
      </x:c>
      <x:c r="H15" s="6" t="str">
        <x:v>C1525</x:v>
      </x:c>
      <x:c r="I15" s="6" t="str">
        <x:v>SAMSUNG(三星)</x:v>
      </x:c>
      <x:c r="J15" s="6" t="str">
        <x:v>native/search-passives.json or native/search-final-passives.json</x:v>
      </x:c>
      <x:c r="K15" s="6" t="str">
        <x:v>Sourcing proposal only; no CAD change or stock reservation</x:v>
      </x:c>
    </x:row>
    <x:row r="16" ht="39.599998474121094" hidden="0" customHeight="1">
      <x:c r="A16" s="6" t="str">
        <x:v>C101</x:v>
      </x:c>
      <x:c r="B16" s="6" t="str">
        <x:v>100nF</x:v>
      </x:c>
      <x:c r="C16" s="6" t="str"/>
      <x:c r="D16" s="6" t="str">
        <x:v>10 V or greater</x:v>
      </x:c>
      <x:c r="E16" s="6" t="str"/>
      <x:c r="F16" s="6" t="str">
        <x:v>0402</x:v>
      </x:c>
      <x:c r="G16" s="6" t="str">
        <x:v>CL05B104KO5NNNC</x:v>
      </x:c>
      <x:c r="H16" s="6" t="str">
        <x:v>C1525</x:v>
      </x:c>
      <x:c r="I16" s="6" t="str">
        <x:v>SAMSUNG(三星)</x:v>
      </x:c>
      <x:c r="J16" s="6" t="str">
        <x:v>native/search-passives.json or native/search-final-passives.json</x:v>
      </x:c>
      <x:c r="K16" s="6" t="str">
        <x:v>Sourcing proposal only; no CAD change or stock reservation</x:v>
      </x:c>
    </x:row>
    <x:row r="17" ht="39.599998474121094" hidden="0" customHeight="1">
      <x:c r="A17" s="6" t="str">
        <x:v>C102</x:v>
      </x:c>
      <x:c r="B17" s="6" t="str">
        <x:v>100nF</x:v>
      </x:c>
      <x:c r="C17" s="6" t="str"/>
      <x:c r="D17" s="6" t="str">
        <x:v>10 V or greater</x:v>
      </x:c>
      <x:c r="E17" s="6" t="str"/>
      <x:c r="F17" s="6" t="str">
        <x:v>0402</x:v>
      </x:c>
      <x:c r="G17" s="6" t="str">
        <x:v>CL05B104KO5NNNC</x:v>
      </x:c>
      <x:c r="H17" s="6" t="str">
        <x:v>C1525</x:v>
      </x:c>
      <x:c r="I17" s="6" t="str">
        <x:v>SAMSUNG(三星)</x:v>
      </x:c>
      <x:c r="J17" s="6" t="str">
        <x:v>native/search-passives.json or native/search-final-passives.json</x:v>
      </x:c>
      <x:c r="K17" s="6" t="str">
        <x:v>Sourcing proposal only; no CAD change or stock reservation</x:v>
      </x:c>
    </x:row>
    <x:row r="18" ht="39.599998474121094" hidden="0" customHeight="1">
      <x:c r="A18" s="6" t="str">
        <x:v>C103</x:v>
      </x:c>
      <x:c r="B18" s="6" t="str">
        <x:v>1uF</x:v>
      </x:c>
      <x:c r="C18" s="6" t="str"/>
      <x:c r="D18" s="6" t="str">
        <x:v>10 V or greater</x:v>
      </x:c>
      <x:c r="E18" s="6" t="str"/>
      <x:c r="F18" s="6" t="str">
        <x:v>0603</x:v>
      </x:c>
      <x:c r="G18" s="6" t="str">
        <x:v>CL10A105KB8NNNC</x:v>
      </x:c>
      <x:c r="H18" s="6" t="str">
        <x:v>C15849</x:v>
      </x:c>
      <x:c r="I18" s="6" t="str">
        <x:v>SAMSUNG(三星)</x:v>
      </x:c>
      <x:c r="J18" s="6" t="str">
        <x:v>native/search-passives.json or native/search-final-passives.json</x:v>
      </x:c>
      <x:c r="K18" s="6" t="str">
        <x:v>Sourcing proposal only; no CAD change or stock reservation</x:v>
      </x:c>
    </x:row>
    <x:row r="19" ht="39.599998474121094" hidden="0" customHeight="1">
      <x:c r="A19" s="6" t="str">
        <x:v>C104</x:v>
      </x:c>
      <x:c r="B19" s="6" t="str">
        <x:v>4.7uF</x:v>
      </x:c>
      <x:c r="C19" s="6" t="str"/>
      <x:c r="D19" s="6" t="str">
        <x:v>10 V</x:v>
      </x:c>
      <x:c r="E19" s="6" t="str"/>
      <x:c r="F19" s="6" t="str">
        <x:v>0805</x:v>
      </x:c>
      <x:c r="G19" s="6" t="str">
        <x:v>CL21A475KAQNNNE</x:v>
      </x:c>
      <x:c r="H19" s="6" t="str">
        <x:v>C1779</x:v>
      </x:c>
      <x:c r="I19" s="6" t="str">
        <x:v>SAMSUNG(三星)</x:v>
      </x:c>
      <x:c r="J19" s="6" t="str">
        <x:v>native/search-passives.json or native/search-final-passives.json</x:v>
      </x:c>
      <x:c r="K19" s="6" t="str">
        <x:v>Sourcing proposal only; no CAD change or stock reservation</x:v>
      </x:c>
    </x:row>
    <x:row r="20" ht="39.599998474121094" hidden="0" customHeight="1">
      <x:c r="A20" s="6" t="str">
        <x:v>C105</x:v>
      </x:c>
      <x:c r="B20" s="6" t="str">
        <x:v>1uF</x:v>
      </x:c>
      <x:c r="C20" s="6" t="str"/>
      <x:c r="D20" s="6" t="str">
        <x:v>10 V or greater</x:v>
      </x:c>
      <x:c r="E20" s="6" t="str"/>
      <x:c r="F20" s="6" t="str">
        <x:v>0603</x:v>
      </x:c>
      <x:c r="G20" s="6" t="str">
        <x:v>CL10A105KB8NNNC</x:v>
      </x:c>
      <x:c r="H20" s="6" t="str">
        <x:v>C15849</x:v>
      </x:c>
      <x:c r="I20" s="6" t="str">
        <x:v>SAMSUNG(三星)</x:v>
      </x:c>
      <x:c r="J20" s="6" t="str">
        <x:v>native/search-passives.json or native/search-final-passives.json</x:v>
      </x:c>
      <x:c r="K20" s="6" t="str">
        <x:v>Sourcing proposal only; no CAD change or stock reservation</x:v>
      </x:c>
    </x:row>
    <x:row r="21" ht="39.599998474121094" hidden="0" customHeight="1">
      <x:c r="A21" s="6" t="str">
        <x:v>C106</x:v>
      </x:c>
      <x:c r="B21" s="6" t="str">
        <x:v>10nF</x:v>
      </x:c>
      <x:c r="C21" s="6" t="str">
        <x:v>5%</x:v>
      </x:c>
      <x:c r="D21" s="6" t="str">
        <x:v>25 V or greater</x:v>
      </x:c>
      <x:c r="E21" s="6" t="str"/>
      <x:c r="F21" s="6" t="str">
        <x:v>0402</x:v>
      </x:c>
      <x:c r="G21" s="6" t="str">
        <x:v>GRM1555C1E103JE01D</x:v>
      </x:c>
      <x:c r="H21" s="6" t="str">
        <x:v>C3855387</x:v>
      </x:c>
      <x:c r="I21" s="6" t="str">
        <x:v>muRata(村田)</x:v>
      </x:c>
      <x:c r="J21" s="6" t="str">
        <x:v>native/search-passives.json or native/search-final-passives.json</x:v>
      </x:c>
      <x:c r="K21" s="6" t="str">
        <x:v>Sourcing proposal only; no CAD change or stock reservation</x:v>
      </x:c>
    </x:row>
    <x:row r="22" ht="39.599998474121094" hidden="0" customHeight="1">
      <x:c r="A22" s="6" t="str">
        <x:v>C107</x:v>
      </x:c>
      <x:c r="B22" s="6" t="str">
        <x:v>10nF</x:v>
      </x:c>
      <x:c r="C22" s="6" t="str">
        <x:v>5%</x:v>
      </x:c>
      <x:c r="D22" s="6" t="str">
        <x:v>25 V or greater</x:v>
      </x:c>
      <x:c r="E22" s="6" t="str"/>
      <x:c r="F22" s="6" t="str">
        <x:v>0402</x:v>
      </x:c>
      <x:c r="G22" s="6" t="str">
        <x:v>GRM1555C1E103JE01D</x:v>
      </x:c>
      <x:c r="H22" s="6" t="str">
        <x:v>C3855387</x:v>
      </x:c>
      <x:c r="I22" s="6" t="str">
        <x:v>muRata(村田)</x:v>
      </x:c>
      <x:c r="J22" s="6" t="str">
        <x:v>native/search-passives.json or native/search-final-passives.json</x:v>
      </x:c>
      <x:c r="K22" s="6" t="str">
        <x:v>Sourcing proposal only; no CAD change or stock reservation</x:v>
      </x:c>
    </x:row>
    <x:row r="23" ht="39.599998474121094" hidden="0" customHeight="1">
      <x:c r="A23" s="6" t="str">
        <x:v>C108</x:v>
      </x:c>
      <x:c r="B23" s="6" t="str">
        <x:v>10nF</x:v>
      </x:c>
      <x:c r="C23" s="6" t="str">
        <x:v>5%</x:v>
      </x:c>
      <x:c r="D23" s="6" t="str">
        <x:v>25 V or greater</x:v>
      </x:c>
      <x:c r="E23" s="6" t="str"/>
      <x:c r="F23" s="6" t="str">
        <x:v>0402</x:v>
      </x:c>
      <x:c r="G23" s="6" t="str">
        <x:v>GRM1555C1E103JE01D</x:v>
      </x:c>
      <x:c r="H23" s="6" t="str">
        <x:v>C3855387</x:v>
      </x:c>
      <x:c r="I23" s="6" t="str">
        <x:v>muRata(村田)</x:v>
      </x:c>
      <x:c r="J23" s="6" t="str">
        <x:v>native/search-passives.json or native/search-final-passives.json</x:v>
      </x:c>
      <x:c r="K23" s="6" t="str">
        <x:v>Sourcing proposal only; no CAD change or stock reservation</x:v>
      </x:c>
    </x:row>
    <x:row r="24" ht="39.599998474121094" hidden="0" customHeight="1">
      <x:c r="A24" s="6" t="str">
        <x:v>C109</x:v>
      </x:c>
      <x:c r="B24" s="6" t="str">
        <x:v>10nF</x:v>
      </x:c>
      <x:c r="C24" s="6" t="str">
        <x:v>5%</x:v>
      </x:c>
      <x:c r="D24" s="6" t="str">
        <x:v>25 V or greater</x:v>
      </x:c>
      <x:c r="E24" s="6" t="str"/>
      <x:c r="F24" s="6" t="str">
        <x:v>0402</x:v>
      </x:c>
      <x:c r="G24" s="6" t="str">
        <x:v>GRM1555C1E103JE01D</x:v>
      </x:c>
      <x:c r="H24" s="6" t="str">
        <x:v>C3855387</x:v>
      </x:c>
      <x:c r="I24" s="6" t="str">
        <x:v>muRata(村田)</x:v>
      </x:c>
      <x:c r="J24" s="6" t="str">
        <x:v>native/search-passives.json or native/search-final-passives.json</x:v>
      </x:c>
      <x:c r="K24" s="6" t="str">
        <x:v>Sourcing proposal only; no CAD change or stock reservation</x:v>
      </x:c>
    </x:row>
    <x:row r="25" ht="39.599998474121094" hidden="0" customHeight="1">
      <x:c r="A25" s="6" t="str">
        <x:v>C110</x:v>
      </x:c>
      <x:c r="B25" s="6" t="str">
        <x:v>10nF</x:v>
      </x:c>
      <x:c r="C25" s="6" t="str">
        <x:v>5%</x:v>
      </x:c>
      <x:c r="D25" s="6" t="str">
        <x:v>25 V or greater</x:v>
      </x:c>
      <x:c r="E25" s="6" t="str"/>
      <x:c r="F25" s="6" t="str">
        <x:v>0402</x:v>
      </x:c>
      <x:c r="G25" s="6" t="str">
        <x:v>GRM1555C1E103JE01D</x:v>
      </x:c>
      <x:c r="H25" s="6" t="str">
        <x:v>C3855387</x:v>
      </x:c>
      <x:c r="I25" s="6" t="str">
        <x:v>muRata(村田)</x:v>
      </x:c>
      <x:c r="J25" s="6" t="str">
        <x:v>native/search-passives.json or native/search-final-passives.json</x:v>
      </x:c>
      <x:c r="K25" s="6" t="str">
        <x:v>Sourcing proposal only; no CAD change or stock reservation</x:v>
      </x:c>
    </x:row>
    <x:row r="26" ht="39.599998474121094" hidden="0" customHeight="1">
      <x:c r="A26" s="6" t="str">
        <x:v>C111</x:v>
      </x:c>
      <x:c r="B26" s="6" t="str">
        <x:v>10nF</x:v>
      </x:c>
      <x:c r="C26" s="6" t="str">
        <x:v>5%</x:v>
      </x:c>
      <x:c r="D26" s="6" t="str">
        <x:v>25 V or greater</x:v>
      </x:c>
      <x:c r="E26" s="6" t="str"/>
      <x:c r="F26" s="6" t="str">
        <x:v>0402</x:v>
      </x:c>
      <x:c r="G26" s="6" t="str">
        <x:v>GRM1555C1E103JE01D</x:v>
      </x:c>
      <x:c r="H26" s="6" t="str">
        <x:v>C3855387</x:v>
      </x:c>
      <x:c r="I26" s="6" t="str">
        <x:v>muRata(村田)</x:v>
      </x:c>
      <x:c r="J26" s="6" t="str">
        <x:v>native/search-passives.json or native/search-final-passives.json</x:v>
      </x:c>
      <x:c r="K26" s="6" t="str">
        <x:v>Sourcing proposal only; no CAD change or stock reservation</x:v>
      </x:c>
    </x:row>
    <x:row r="27" ht="39.599998474121094" hidden="0" customHeight="1">
      <x:c r="A27" s="6" t="str">
        <x:v>C112</x:v>
      </x:c>
      <x:c r="B27" s="6" t="str">
        <x:v>10nF</x:v>
      </x:c>
      <x:c r="C27" s="6" t="str">
        <x:v>5%</x:v>
      </x:c>
      <x:c r="D27" s="6" t="str">
        <x:v>25 V or greater</x:v>
      </x:c>
      <x:c r="E27" s="6" t="str"/>
      <x:c r="F27" s="6" t="str">
        <x:v>0402</x:v>
      </x:c>
      <x:c r="G27" s="6" t="str">
        <x:v>GRM1555C1E103JE01D</x:v>
      </x:c>
      <x:c r="H27" s="6" t="str">
        <x:v>C3855387</x:v>
      </x:c>
      <x:c r="I27" s="6" t="str">
        <x:v>muRata(村田)</x:v>
      </x:c>
      <x:c r="J27" s="6" t="str">
        <x:v>native/search-passives.json or native/search-final-passives.json</x:v>
      </x:c>
      <x:c r="K27" s="6" t="str">
        <x:v>Sourcing proposal only; no CAD change or stock reservation</x:v>
      </x:c>
    </x:row>
    <x:row r="28" ht="39.599998474121094" hidden="0" customHeight="1">
      <x:c r="A28" s="6" t="str">
        <x:v>C113</x:v>
      </x:c>
      <x:c r="B28" s="6" t="str">
        <x:v>100nF</x:v>
      </x:c>
      <x:c r="C28" s="6" t="str"/>
      <x:c r="D28" s="6" t="str">
        <x:v>10 V or greater</x:v>
      </x:c>
      <x:c r="E28" s="6" t="str"/>
      <x:c r="F28" s="6" t="str">
        <x:v>0402</x:v>
      </x:c>
      <x:c r="G28" s="6" t="str">
        <x:v>CL05B104KO5NNNC</x:v>
      </x:c>
      <x:c r="H28" s="6" t="str">
        <x:v>C1525</x:v>
      </x:c>
      <x:c r="I28" s="6" t="str">
        <x:v>SAMSUNG(三星)</x:v>
      </x:c>
      <x:c r="J28" s="6" t="str">
        <x:v>native/search-passives.json or native/search-final-passives.json</x:v>
      </x:c>
      <x:c r="K28" s="6" t="str">
        <x:v>Sourcing proposal only; no CAD change or stock reservation</x:v>
      </x:c>
    </x:row>
    <x:row r="29" ht="39.599998474121094" hidden="0" customHeight="1">
      <x:c r="A29" s="6" t="str">
        <x:v>C114</x:v>
      </x:c>
      <x:c r="B29" s="6" t="str">
        <x:v>100nF</x:v>
      </x:c>
      <x:c r="C29" s="6" t="str"/>
      <x:c r="D29" s="6" t="str">
        <x:v>10 V or greater</x:v>
      </x:c>
      <x:c r="E29" s="6" t="str"/>
      <x:c r="F29" s="6" t="str">
        <x:v>0402</x:v>
      </x:c>
      <x:c r="G29" s="6" t="str">
        <x:v>CL05B104KO5NNNC</x:v>
      </x:c>
      <x:c r="H29" s="6" t="str">
        <x:v>C1525</x:v>
      </x:c>
      <x:c r="I29" s="6" t="str">
        <x:v>SAMSUNG(三星)</x:v>
      </x:c>
      <x:c r="J29" s="6" t="str">
        <x:v>native/search-passives.json or native/search-final-passives.json</x:v>
      </x:c>
      <x:c r="K29" s="6" t="str">
        <x:v>Sourcing proposal only; no CAD change or stock reservation</x:v>
      </x:c>
    </x:row>
    <x:row r="30" ht="39.599998474121094" hidden="0" customHeight="1">
      <x:c r="A30" s="6" t="str">
        <x:v>C115</x:v>
      </x:c>
      <x:c r="B30" s="6" t="str">
        <x:v>100nF</x:v>
      </x:c>
      <x:c r="C30" s="6" t="str"/>
      <x:c r="D30" s="6" t="str">
        <x:v>10 V or greater</x:v>
      </x:c>
      <x:c r="E30" s="6" t="str"/>
      <x:c r="F30" s="6" t="str">
        <x:v>0402</x:v>
      </x:c>
      <x:c r="G30" s="6" t="str">
        <x:v>CL05B104KO5NNNC</x:v>
      </x:c>
      <x:c r="H30" s="6" t="str">
        <x:v>C1525</x:v>
      </x:c>
      <x:c r="I30" s="6" t="str">
        <x:v>SAMSUNG(三星)</x:v>
      </x:c>
      <x:c r="J30" s="6" t="str">
        <x:v>native/search-passives.json or native/search-final-passives.json</x:v>
      </x:c>
      <x:c r="K30" s="6" t="str">
        <x:v>Sourcing proposal only; no CAD change or stock reservation</x:v>
      </x:c>
    </x:row>
    <x:row r="31" ht="39.599998474121094" hidden="0" customHeight="1">
      <x:c r="A31" s="6" t="str">
        <x:v>C116</x:v>
      </x:c>
      <x:c r="B31" s="6" t="str">
        <x:v>100nF</x:v>
      </x:c>
      <x:c r="C31" s="6" t="str"/>
      <x:c r="D31" s="6" t="str">
        <x:v>10 V or greater</x:v>
      </x:c>
      <x:c r="E31" s="6" t="str"/>
      <x:c r="F31" s="6" t="str">
        <x:v>0402</x:v>
      </x:c>
      <x:c r="G31" s="6" t="str">
        <x:v>CL05B104KO5NNNC</x:v>
      </x:c>
      <x:c r="H31" s="6" t="str">
        <x:v>C1525</x:v>
      </x:c>
      <x:c r="I31" s="6" t="str">
        <x:v>SAMSUNG(三星)</x:v>
      </x:c>
      <x:c r="J31" s="6" t="str">
        <x:v>native/search-passives.json or native/search-final-passives.json</x:v>
      </x:c>
      <x:c r="K31" s="6" t="str">
        <x:v>Sourcing proposal only; no CAD change or stock reservation</x:v>
      </x:c>
    </x:row>
    <x:row r="32" ht="39.599998474121094" hidden="0" customHeight="1">
      <x:c r="A32" s="6" t="str">
        <x:v>C117</x:v>
      </x:c>
      <x:c r="B32" s="6" t="str">
        <x:v>100nF</x:v>
      </x:c>
      <x:c r="C32" s="6" t="str"/>
      <x:c r="D32" s="6" t="str">
        <x:v>10 V or greater</x:v>
      </x:c>
      <x:c r="E32" s="6" t="str"/>
      <x:c r="F32" s="6" t="str">
        <x:v>0402</x:v>
      </x:c>
      <x:c r="G32" s="6" t="str">
        <x:v>CL05B104KO5NNNC</x:v>
      </x:c>
      <x:c r="H32" s="6" t="str">
        <x:v>C1525</x:v>
      </x:c>
      <x:c r="I32" s="6" t="str">
        <x:v>SAMSUNG(三星)</x:v>
      </x:c>
      <x:c r="J32" s="6" t="str">
        <x:v>native/search-passives.json or native/search-final-passives.json</x:v>
      </x:c>
      <x:c r="K32" s="6" t="str">
        <x:v>Sourcing proposal only; no CAD change or stock reservation</x:v>
      </x:c>
    </x:row>
    <x:row r="33" ht="39.599998474121094" hidden="0" customHeight="1">
      <x:c r="A33" s="6" t="str">
        <x:v>C118</x:v>
      </x:c>
      <x:c r="B33" s="6" t="str">
        <x:v>100nF</x:v>
      </x:c>
      <x:c r="C33" s="6" t="str"/>
      <x:c r="D33" s="6" t="str">
        <x:v>10 V or greater</x:v>
      </x:c>
      <x:c r="E33" s="6" t="str"/>
      <x:c r="F33" s="6" t="str">
        <x:v>0402</x:v>
      </x:c>
      <x:c r="G33" s="6" t="str">
        <x:v>CL05B104KO5NNNC</x:v>
      </x:c>
      <x:c r="H33" s="6" t="str">
        <x:v>C1525</x:v>
      </x:c>
      <x:c r="I33" s="6" t="str">
        <x:v>SAMSUNG(三星)</x:v>
      </x:c>
      <x:c r="J33" s="6" t="str">
        <x:v>native/search-passives.json or native/search-final-passives.json</x:v>
      </x:c>
      <x:c r="K33" s="6" t="str">
        <x:v>Sourcing proposal only; no CAD change or stock reservation</x:v>
      </x:c>
    </x:row>
    <x:row r="34" ht="39.599998474121094" hidden="0" customHeight="1">
      <x:c r="A34" s="6" t="str">
        <x:v>C119</x:v>
      </x:c>
      <x:c r="B34" s="6" t="str">
        <x:v>100nF</x:v>
      </x:c>
      <x:c r="C34" s="6" t="str"/>
      <x:c r="D34" s="6" t="str">
        <x:v>10 V or greater</x:v>
      </x:c>
      <x:c r="E34" s="6" t="str"/>
      <x:c r="F34" s="6" t="str">
        <x:v>0402</x:v>
      </x:c>
      <x:c r="G34" s="6" t="str">
        <x:v>CL05B104KO5NNNC</x:v>
      </x:c>
      <x:c r="H34" s="6" t="str">
        <x:v>C1525</x:v>
      </x:c>
      <x:c r="I34" s="6" t="str">
        <x:v>SAMSUNG(三星)</x:v>
      </x:c>
      <x:c r="J34" s="6" t="str">
        <x:v>native/search-passives.json or native/search-final-passives.json</x:v>
      </x:c>
      <x:c r="K34" s="6" t="str">
        <x:v>Sourcing proposal only; no CAD change or stock reservation</x:v>
      </x:c>
    </x:row>
    <x:row r="35" ht="39.599998474121094" hidden="0" customHeight="1">
      <x:c r="A35" s="6" t="str">
        <x:v>C120</x:v>
      </x:c>
      <x:c r="B35" s="6" t="str">
        <x:v>100nF</x:v>
      </x:c>
      <x:c r="C35" s="6" t="str"/>
      <x:c r="D35" s="6" t="str">
        <x:v>10 V or greater</x:v>
      </x:c>
      <x:c r="E35" s="6" t="str"/>
      <x:c r="F35" s="6" t="str">
        <x:v>0402</x:v>
      </x:c>
      <x:c r="G35" s="6" t="str">
        <x:v>CL05B104KO5NNNC</x:v>
      </x:c>
      <x:c r="H35" s="6" t="str">
        <x:v>C1525</x:v>
      </x:c>
      <x:c r="I35" s="6" t="str">
        <x:v>SAMSUNG(三星)</x:v>
      </x:c>
      <x:c r="J35" s="6" t="str">
        <x:v>native/search-passives.json or native/search-final-passives.json</x:v>
      </x:c>
      <x:c r="K35" s="6" t="str">
        <x:v>Sourcing proposal only; no CAD change or stock reservation</x:v>
      </x:c>
    </x:row>
    <x:row r="36" ht="39.599998474121094" hidden="0" customHeight="1">
      <x:c r="A36" s="6" t="str">
        <x:v>C121</x:v>
      </x:c>
      <x:c r="B36" s="6" t="str">
        <x:v>100nF</x:v>
      </x:c>
      <x:c r="C36" s="6" t="str"/>
      <x:c r="D36" s="6" t="str">
        <x:v>10 V or greater</x:v>
      </x:c>
      <x:c r="E36" s="6" t="str"/>
      <x:c r="F36" s="6" t="str">
        <x:v>0402</x:v>
      </x:c>
      <x:c r="G36" s="6" t="str">
        <x:v>CL05B104KO5NNNC</x:v>
      </x:c>
      <x:c r="H36" s="6" t="str">
        <x:v>C1525</x:v>
      </x:c>
      <x:c r="I36" s="6" t="str">
        <x:v>SAMSUNG(三星)</x:v>
      </x:c>
      <x:c r="J36" s="6" t="str">
        <x:v>native/search-passives.json or native/search-final-passives.json</x:v>
      </x:c>
      <x:c r="K36" s="6" t="str">
        <x:v>Sourcing proposal only; no CAD change or stock reservation</x:v>
      </x:c>
    </x:row>
    <x:row r="37" ht="39.599998474121094" hidden="0" customHeight="1">
      <x:c r="A37" s="6" t="str">
        <x:v>C122</x:v>
      </x:c>
      <x:c r="B37" s="6" t="str">
        <x:v>10nF</x:v>
      </x:c>
      <x:c r="C37" s="6" t="str">
        <x:v>5%</x:v>
      </x:c>
      <x:c r="D37" s="6" t="str">
        <x:v>25 V or greater</x:v>
      </x:c>
      <x:c r="E37" s="6" t="str"/>
      <x:c r="F37" s="6" t="str">
        <x:v>0402</x:v>
      </x:c>
      <x:c r="G37" s="6" t="str">
        <x:v>GRM1555C1E103JE01D</x:v>
      </x:c>
      <x:c r="H37" s="6" t="str">
        <x:v>C3855387</x:v>
      </x:c>
      <x:c r="I37" s="6" t="str">
        <x:v>muRata(村田)</x:v>
      </x:c>
      <x:c r="J37" s="6" t="str">
        <x:v>native/search-passives.json or native/search-final-passives.json</x:v>
      </x:c>
      <x:c r="K37" s="6" t="str">
        <x:v>Sourcing proposal only; no CAD change or stock reservation</x:v>
      </x:c>
    </x:row>
    <x:row r="38" ht="39.599998474121094" hidden="0" customHeight="1">
      <x:c r="A38" s="6" t="str">
        <x:v>C123</x:v>
      </x:c>
      <x:c r="B38" s="6" t="str">
        <x:v>100nF</x:v>
      </x:c>
      <x:c r="C38" s="6" t="str"/>
      <x:c r="D38" s="6" t="str">
        <x:v>10 V or greater</x:v>
      </x:c>
      <x:c r="E38" s="6" t="str"/>
      <x:c r="F38" s="6" t="str">
        <x:v>0402</x:v>
      </x:c>
      <x:c r="G38" s="6" t="str">
        <x:v>CL05B104KO5NNNC</x:v>
      </x:c>
      <x:c r="H38" s="6" t="str">
        <x:v>C1525</x:v>
      </x:c>
      <x:c r="I38" s="6" t="str">
        <x:v>SAMSUNG(三星)</x:v>
      </x:c>
      <x:c r="J38" s="6" t="str">
        <x:v>native/search-passives.json or native/search-final-passives.json</x:v>
      </x:c>
      <x:c r="K38" s="6" t="str">
        <x:v>Sourcing proposal only; no CAD change or stock reservation</x:v>
      </x:c>
    </x:row>
    <x:row r="39" ht="39.599998474121094" hidden="0" customHeight="1">
      <x:c r="A39" s="6" t="str">
        <x:v>C124</x:v>
      </x:c>
      <x:c r="B39" s="6" t="str">
        <x:v>100nF</x:v>
      </x:c>
      <x:c r="C39" s="6" t="str"/>
      <x:c r="D39" s="6" t="str">
        <x:v>10 V or greater</x:v>
      </x:c>
      <x:c r="E39" s="6" t="str"/>
      <x:c r="F39" s="6" t="str">
        <x:v>0402</x:v>
      </x:c>
      <x:c r="G39" s="6" t="str">
        <x:v>CL05B104KO5NNNC</x:v>
      </x:c>
      <x:c r="H39" s="6" t="str">
        <x:v>C1525</x:v>
      </x:c>
      <x:c r="I39" s="6" t="str">
        <x:v>SAMSUNG(三星)</x:v>
      </x:c>
      <x:c r="J39" s="6" t="str">
        <x:v>native/search-passives.json or native/search-final-passives.json</x:v>
      </x:c>
      <x:c r="K39" s="6" t="str">
        <x:v>Sourcing proposal only; no CAD change or stock reservation</x:v>
      </x:c>
    </x:row>
    <x:row r="40" ht="39.599998474121094" hidden="0" customHeight="1">
      <x:c r="A40" s="6" t="str">
        <x:v>C125</x:v>
      </x:c>
      <x:c r="B40" s="6" t="str">
        <x:v>10nF</x:v>
      </x:c>
      <x:c r="C40" s="6" t="str">
        <x:v>5%</x:v>
      </x:c>
      <x:c r="D40" s="6" t="str">
        <x:v>25 V or greater</x:v>
      </x:c>
      <x:c r="E40" s="6" t="str"/>
      <x:c r="F40" s="6" t="str">
        <x:v>0402</x:v>
      </x:c>
      <x:c r="G40" s="6" t="str">
        <x:v>GRM1555C1E103JE01D</x:v>
      </x:c>
      <x:c r="H40" s="6" t="str">
        <x:v>C3855387</x:v>
      </x:c>
      <x:c r="I40" s="6" t="str">
        <x:v>muRata(村田)</x:v>
      </x:c>
      <x:c r="J40" s="6" t="str">
        <x:v>native/search-passives.json or native/search-final-passives.json</x:v>
      </x:c>
      <x:c r="K40" s="6" t="str">
        <x:v>Sourcing proposal only; no CAD change or stock reservation</x:v>
      </x:c>
    </x:row>
    <x:row r="41" ht="39.599998474121094" hidden="0" customHeight="1">
      <x:c r="A41" s="6" t="str">
        <x:v>C126</x:v>
      </x:c>
      <x:c r="B41" s="6" t="str">
        <x:v>100nF</x:v>
      </x:c>
      <x:c r="C41" s="6" t="str"/>
      <x:c r="D41" s="6" t="str">
        <x:v>10 V or greater</x:v>
      </x:c>
      <x:c r="E41" s="6" t="str"/>
      <x:c r="F41" s="6" t="str">
        <x:v>0402</x:v>
      </x:c>
      <x:c r="G41" s="6" t="str">
        <x:v>CL05B104KO5NNNC</x:v>
      </x:c>
      <x:c r="H41" s="6" t="str">
        <x:v>C1525</x:v>
      </x:c>
      <x:c r="I41" s="6" t="str">
        <x:v>SAMSUNG(三星)</x:v>
      </x:c>
      <x:c r="J41" s="6" t="str">
        <x:v>native/search-passives.json or native/search-final-passives.json</x:v>
      </x:c>
      <x:c r="K41" s="6" t="str">
        <x:v>Sourcing proposal only; no CAD change or stock reservation</x:v>
      </x:c>
    </x:row>
    <x:row r="42" ht="39.599998474121094" hidden="0" customHeight="1">
      <x:c r="A42" s="6" t="str">
        <x:v>C127</x:v>
      </x:c>
      <x:c r="B42" s="6" t="str">
        <x:v>100nF</x:v>
      </x:c>
      <x:c r="C42" s="6" t="str"/>
      <x:c r="D42" s="6" t="str">
        <x:v>10 V or greater</x:v>
      </x:c>
      <x:c r="E42" s="6" t="str"/>
      <x:c r="F42" s="6" t="str">
        <x:v>0402</x:v>
      </x:c>
      <x:c r="G42" s="6" t="str">
        <x:v>CL05B104KO5NNNC</x:v>
      </x:c>
      <x:c r="H42" s="6" t="str">
        <x:v>C1525</x:v>
      </x:c>
      <x:c r="I42" s="6" t="str">
        <x:v>SAMSUNG(三星)</x:v>
      </x:c>
      <x:c r="J42" s="6" t="str">
        <x:v>native/search-passives.json or native/search-final-passives.json</x:v>
      </x:c>
      <x:c r="K42" s="6" t="str">
        <x:v>Sourcing proposal only; no CAD change or stock reservation</x:v>
      </x:c>
    </x:row>
    <x:row r="43" ht="39.599998474121094" hidden="0" customHeight="1">
      <x:c r="A43" s="6" t="str">
        <x:v>C128</x:v>
      </x:c>
      <x:c r="B43" s="6" t="str">
        <x:v>10nF</x:v>
      </x:c>
      <x:c r="C43" s="6" t="str">
        <x:v>5%</x:v>
      </x:c>
      <x:c r="D43" s="6" t="str">
        <x:v>25 V or greater</x:v>
      </x:c>
      <x:c r="E43" s="6" t="str"/>
      <x:c r="F43" s="6" t="str">
        <x:v>0402</x:v>
      </x:c>
      <x:c r="G43" s="6" t="str">
        <x:v>GRM1555C1E103JE01D</x:v>
      </x:c>
      <x:c r="H43" s="6" t="str">
        <x:v>C3855387</x:v>
      </x:c>
      <x:c r="I43" s="6" t="str">
        <x:v>muRata(村田)</x:v>
      </x:c>
      <x:c r="J43" s="6" t="str">
        <x:v>native/search-passives.json or native/search-final-passives.json</x:v>
      </x:c>
      <x:c r="K43" s="6" t="str">
        <x:v>Sourcing proposal only; no CAD change or stock reservation</x:v>
      </x:c>
    </x:row>
    <x:row r="44" ht="39.599998474121094" hidden="0" customHeight="1">
      <x:c r="A44" s="6" t="str">
        <x:v>C129</x:v>
      </x:c>
      <x:c r="B44" s="6" t="str">
        <x:v>100nF</x:v>
      </x:c>
      <x:c r="C44" s="6" t="str"/>
      <x:c r="D44" s="6" t="str">
        <x:v>10 V or greater</x:v>
      </x:c>
      <x:c r="E44" s="6" t="str"/>
      <x:c r="F44" s="6" t="str">
        <x:v>0402</x:v>
      </x:c>
      <x:c r="G44" s="6" t="str">
        <x:v>CL05B104KO5NNNC</x:v>
      </x:c>
      <x:c r="H44" s="6" t="str">
        <x:v>C1525</x:v>
      </x:c>
      <x:c r="I44" s="6" t="str">
        <x:v>SAMSUNG(三星)</x:v>
      </x:c>
      <x:c r="J44" s="6" t="str">
        <x:v>native/search-passives.json or native/search-final-passives.json</x:v>
      </x:c>
      <x:c r="K44" s="6" t="str">
        <x:v>Sourcing proposal only; no CAD change or stock reservation</x:v>
      </x:c>
    </x:row>
    <x:row r="45" ht="39.599998474121094" hidden="0" customHeight="1">
      <x:c r="A45" s="6" t="str">
        <x:v>C130</x:v>
      </x:c>
      <x:c r="B45" s="6" t="str">
        <x:v>100nF</x:v>
      </x:c>
      <x:c r="C45" s="6" t="str"/>
      <x:c r="D45" s="6" t="str">
        <x:v>10 V or greater</x:v>
      </x:c>
      <x:c r="E45" s="6" t="str"/>
      <x:c r="F45" s="6" t="str">
        <x:v>0402</x:v>
      </x:c>
      <x:c r="G45" s="6" t="str">
        <x:v>CL05B104KO5NNNC</x:v>
      </x:c>
      <x:c r="H45" s="6" t="str">
        <x:v>C1525</x:v>
      </x:c>
      <x:c r="I45" s="6" t="str">
        <x:v>SAMSUNG(三星)</x:v>
      </x:c>
      <x:c r="J45" s="6" t="str">
        <x:v>native/search-passives.json or native/search-final-passives.json</x:v>
      </x:c>
      <x:c r="K45" s="6" t="str">
        <x:v>Sourcing proposal only; no CAD change or stock reservation</x:v>
      </x:c>
    </x:row>
    <x:row r="46" ht="39.599998474121094" hidden="0" customHeight="1">
      <x:c r="A46" s="6" t="str">
        <x:v>C131</x:v>
      </x:c>
      <x:c r="B46" s="6" t="str">
        <x:v>10nF</x:v>
      </x:c>
      <x:c r="C46" s="6" t="str">
        <x:v>5%</x:v>
      </x:c>
      <x:c r="D46" s="6" t="str">
        <x:v>25 V or greater</x:v>
      </x:c>
      <x:c r="E46" s="6" t="str"/>
      <x:c r="F46" s="6" t="str">
        <x:v>0402</x:v>
      </x:c>
      <x:c r="G46" s="6" t="str">
        <x:v>GRM1555C1E103JE01D</x:v>
      </x:c>
      <x:c r="H46" s="6" t="str">
        <x:v>C3855387</x:v>
      </x:c>
      <x:c r="I46" s="6" t="str">
        <x:v>muRata(村田)</x:v>
      </x:c>
      <x:c r="J46" s="6" t="str">
        <x:v>native/search-passives.json or native/search-final-passives.json</x:v>
      </x:c>
      <x:c r="K46" s="6" t="str">
        <x:v>Sourcing proposal only; no CAD change or stock reservation</x:v>
      </x:c>
    </x:row>
    <x:row r="47" ht="39.599998474121094" hidden="0" customHeight="1">
      <x:c r="A47" s="6" t="str">
        <x:v>C132</x:v>
      </x:c>
      <x:c r="B47" s="6" t="str">
        <x:v>100nF</x:v>
      </x:c>
      <x:c r="C47" s="6" t="str"/>
      <x:c r="D47" s="6" t="str">
        <x:v>10 V or greater</x:v>
      </x:c>
      <x:c r="E47" s="6" t="str"/>
      <x:c r="F47" s="6" t="str">
        <x:v>0402</x:v>
      </x:c>
      <x:c r="G47" s="6" t="str">
        <x:v>CL05B104KO5NNNC</x:v>
      </x:c>
      <x:c r="H47" s="6" t="str">
        <x:v>C1525</x:v>
      </x:c>
      <x:c r="I47" s="6" t="str">
        <x:v>SAMSUNG(三星)</x:v>
      </x:c>
      <x:c r="J47" s="6" t="str">
        <x:v>native/search-passives.json or native/search-final-passives.json</x:v>
      </x:c>
      <x:c r="K47" s="6" t="str">
        <x:v>Sourcing proposal only; no CAD change or stock reservation</x:v>
      </x:c>
    </x:row>
    <x:row r="48" ht="39.599998474121094" hidden="0" customHeight="1">
      <x:c r="A48" s="6" t="str">
        <x:v>C133</x:v>
      </x:c>
      <x:c r="B48" s="6" t="str">
        <x:v>100nF</x:v>
      </x:c>
      <x:c r="C48" s="6" t="str"/>
      <x:c r="D48" s="6" t="str">
        <x:v>10 V or greater</x:v>
      </x:c>
      <x:c r="E48" s="6" t="str"/>
      <x:c r="F48" s="6" t="str">
        <x:v>0402</x:v>
      </x:c>
      <x:c r="G48" s="6" t="str">
        <x:v>CL05B104KO5NNNC</x:v>
      </x:c>
      <x:c r="H48" s="6" t="str">
        <x:v>C1525</x:v>
      </x:c>
      <x:c r="I48" s="6" t="str">
        <x:v>SAMSUNG(三星)</x:v>
      </x:c>
      <x:c r="J48" s="6" t="str">
        <x:v>native/search-passives.json or native/search-final-passives.json</x:v>
      </x:c>
      <x:c r="K48" s="6" t="str">
        <x:v>Sourcing proposal only; no CAD change or stock reservation</x:v>
      </x:c>
    </x:row>
    <x:row r="49" ht="39.599998474121094" hidden="0" customHeight="1">
      <x:c r="A49" s="6" t="str">
        <x:v>C134</x:v>
      </x:c>
      <x:c r="B49" s="6" t="str">
        <x:v>10nF</x:v>
      </x:c>
      <x:c r="C49" s="6" t="str">
        <x:v>5%</x:v>
      </x:c>
      <x:c r="D49" s="6" t="str">
        <x:v>25 V or greater</x:v>
      </x:c>
      <x:c r="E49" s="6" t="str"/>
      <x:c r="F49" s="6" t="str">
        <x:v>0402</x:v>
      </x:c>
      <x:c r="G49" s="6" t="str">
        <x:v>GRM1555C1E103JE01D</x:v>
      </x:c>
      <x:c r="H49" s="6" t="str">
        <x:v>C3855387</x:v>
      </x:c>
      <x:c r="I49" s="6" t="str">
        <x:v>muRata(村田)</x:v>
      </x:c>
      <x:c r="J49" s="6" t="str">
        <x:v>native/search-passives.json or native/search-final-passives.json</x:v>
      </x:c>
      <x:c r="K49" s="6" t="str">
        <x:v>Sourcing proposal only; no CAD change or stock reservation</x:v>
      </x:c>
    </x:row>
    <x:row r="50" ht="39.599998474121094" hidden="0" customHeight="1">
      <x:c r="A50" s="6" t="str">
        <x:v>C135</x:v>
      </x:c>
      <x:c r="B50" s="6" t="str">
        <x:v>100nF</x:v>
      </x:c>
      <x:c r="C50" s="6" t="str"/>
      <x:c r="D50" s="6" t="str">
        <x:v>10 V or greater</x:v>
      </x:c>
      <x:c r="E50" s="6" t="str"/>
      <x:c r="F50" s="6" t="str">
        <x:v>0402</x:v>
      </x:c>
      <x:c r="G50" s="6" t="str">
        <x:v>CL05B104KO5NNNC</x:v>
      </x:c>
      <x:c r="H50" s="6" t="str">
        <x:v>C1525</x:v>
      </x:c>
      <x:c r="I50" s="6" t="str">
        <x:v>SAMSUNG(三星)</x:v>
      </x:c>
      <x:c r="J50" s="6" t="str">
        <x:v>native/search-passives.json or native/search-final-passives.json</x:v>
      </x:c>
      <x:c r="K50" s="6" t="str">
        <x:v>Sourcing proposal only; no CAD change or stock reservation</x:v>
      </x:c>
    </x:row>
    <x:row r="51" ht="39.599998474121094" hidden="0" customHeight="1">
      <x:c r="A51" s="6" t="str">
        <x:v>C136</x:v>
      </x:c>
      <x:c r="B51" s="6" t="str">
        <x:v>100nF</x:v>
      </x:c>
      <x:c r="C51" s="6" t="str"/>
      <x:c r="D51" s="6" t="str">
        <x:v>10 V or greater</x:v>
      </x:c>
      <x:c r="E51" s="6" t="str"/>
      <x:c r="F51" s="6" t="str">
        <x:v>0402</x:v>
      </x:c>
      <x:c r="G51" s="6" t="str">
        <x:v>CL05B104KO5NNNC</x:v>
      </x:c>
      <x:c r="H51" s="6" t="str">
        <x:v>C1525</x:v>
      </x:c>
      <x:c r="I51" s="6" t="str">
        <x:v>SAMSUNG(三星)</x:v>
      </x:c>
      <x:c r="J51" s="6" t="str">
        <x:v>native/search-passives.json or native/search-final-passives.json</x:v>
      </x:c>
      <x:c r="K51" s="6" t="str">
        <x:v>Sourcing proposal only; no CAD change or stock reservation</x:v>
      </x:c>
    </x:row>
    <x:row r="52" ht="39.599998474121094" hidden="0" customHeight="1">
      <x:c r="A52" s="6" t="str">
        <x:v>C137</x:v>
      </x:c>
      <x:c r="B52" s="6" t="str">
        <x:v>10nF</x:v>
      </x:c>
      <x:c r="C52" s="6" t="str">
        <x:v>5%</x:v>
      </x:c>
      <x:c r="D52" s="6" t="str">
        <x:v>25 V or greater</x:v>
      </x:c>
      <x:c r="E52" s="6" t="str"/>
      <x:c r="F52" s="6" t="str">
        <x:v>0402</x:v>
      </x:c>
      <x:c r="G52" s="6" t="str">
        <x:v>GRM1555C1E103JE01D</x:v>
      </x:c>
      <x:c r="H52" s="6" t="str">
        <x:v>C3855387</x:v>
      </x:c>
      <x:c r="I52" s="6" t="str">
        <x:v>muRata(村田)</x:v>
      </x:c>
      <x:c r="J52" s="6" t="str">
        <x:v>native/search-passives.json or native/search-final-passives.json</x:v>
      </x:c>
      <x:c r="K52" s="6" t="str">
        <x:v>Sourcing proposal only; no CAD change or stock reservation</x:v>
      </x:c>
    </x:row>
    <x:row r="53" ht="39.599998474121094" hidden="0" customHeight="1">
      <x:c r="A53" s="6" t="str">
        <x:v>C138</x:v>
      </x:c>
      <x:c r="B53" s="6" t="str">
        <x:v>100nF</x:v>
      </x:c>
      <x:c r="C53" s="6" t="str"/>
      <x:c r="D53" s="6" t="str">
        <x:v>10 V or greater</x:v>
      </x:c>
      <x:c r="E53" s="6" t="str"/>
      <x:c r="F53" s="6" t="str">
        <x:v>0402</x:v>
      </x:c>
      <x:c r="G53" s="6" t="str">
        <x:v>CL05B104KO5NNNC</x:v>
      </x:c>
      <x:c r="H53" s="6" t="str">
        <x:v>C1525</x:v>
      </x:c>
      <x:c r="I53" s="6" t="str">
        <x:v>SAMSUNG(三星)</x:v>
      </x:c>
      <x:c r="J53" s="6" t="str">
        <x:v>native/search-passives.json or native/search-final-passives.json</x:v>
      </x:c>
      <x:c r="K53" s="6" t="str">
        <x:v>Sourcing proposal only; no CAD change or stock reservation</x:v>
      </x:c>
    </x:row>
    <x:row r="54" ht="39.599998474121094" hidden="0" customHeight="1">
      <x:c r="A54" s="6" t="str">
        <x:v>C139</x:v>
      </x:c>
      <x:c r="B54" s="6" t="str">
        <x:v>100nF</x:v>
      </x:c>
      <x:c r="C54" s="6" t="str"/>
      <x:c r="D54" s="6" t="str">
        <x:v>10 V or greater</x:v>
      </x:c>
      <x:c r="E54" s="6" t="str"/>
      <x:c r="F54" s="6" t="str">
        <x:v>0402</x:v>
      </x:c>
      <x:c r="G54" s="6" t="str">
        <x:v>CL05B104KO5NNNC</x:v>
      </x:c>
      <x:c r="H54" s="6" t="str">
        <x:v>C1525</x:v>
      </x:c>
      <x:c r="I54" s="6" t="str">
        <x:v>SAMSUNG(三星)</x:v>
      </x:c>
      <x:c r="J54" s="6" t="str">
        <x:v>native/search-passives.json or native/search-final-passives.json</x:v>
      </x:c>
      <x:c r="K54" s="6" t="str">
        <x:v>Sourcing proposal only; no CAD change or stock reservation</x:v>
      </x:c>
    </x:row>
    <x:row r="55" ht="39.599998474121094" hidden="0" customHeight="1">
      <x:c r="A55" s="6" t="str">
        <x:v>C140</x:v>
      </x:c>
      <x:c r="B55" s="6" t="str">
        <x:v>10nF</x:v>
      </x:c>
      <x:c r="C55" s="6" t="str">
        <x:v>5%</x:v>
      </x:c>
      <x:c r="D55" s="6" t="str">
        <x:v>25 V or greater</x:v>
      </x:c>
      <x:c r="E55" s="6" t="str"/>
      <x:c r="F55" s="6" t="str">
        <x:v>0402</x:v>
      </x:c>
      <x:c r="G55" s="6" t="str">
        <x:v>GRM1555C1E103JE01D</x:v>
      </x:c>
      <x:c r="H55" s="6" t="str">
        <x:v>C3855387</x:v>
      </x:c>
      <x:c r="I55" s="6" t="str">
        <x:v>muRata(村田)</x:v>
      </x:c>
      <x:c r="J55" s="6" t="str">
        <x:v>native/search-passives.json or native/search-final-passives.json</x:v>
      </x:c>
      <x:c r="K55" s="6" t="str">
        <x:v>Sourcing proposal only; no CAD change or stock reservation</x:v>
      </x:c>
    </x:row>
    <x:row r="56" ht="39.599998474121094" hidden="0" customHeight="1">
      <x:c r="A56" s="6" t="str">
        <x:v>C141</x:v>
      </x:c>
      <x:c r="B56" s="6" t="str">
        <x:v>100nF</x:v>
      </x:c>
      <x:c r="C56" s="6" t="str"/>
      <x:c r="D56" s="6" t="str">
        <x:v>10 V or greater</x:v>
      </x:c>
      <x:c r="E56" s="6" t="str"/>
      <x:c r="F56" s="6" t="str">
        <x:v>0402</x:v>
      </x:c>
      <x:c r="G56" s="6" t="str">
        <x:v>CL05B104KO5NNNC</x:v>
      </x:c>
      <x:c r="H56" s="6" t="str">
        <x:v>C1525</x:v>
      </x:c>
      <x:c r="I56" s="6" t="str">
        <x:v>SAMSUNG(三星)</x:v>
      </x:c>
      <x:c r="J56" s="6" t="str">
        <x:v>native/search-passives.json or native/search-final-passives.json</x:v>
      </x:c>
      <x:c r="K56" s="6" t="str">
        <x:v>Sourcing proposal only; no CAD change or stock reservation</x:v>
      </x:c>
    </x:row>
    <x:row r="57" ht="39.599998474121094" hidden="0" customHeight="1">
      <x:c r="A57" s="6" t="str">
        <x:v>C142</x:v>
      </x:c>
      <x:c r="B57" s="6" t="str">
        <x:v>100nF</x:v>
      </x:c>
      <x:c r="C57" s="6" t="str"/>
      <x:c r="D57" s="6" t="str">
        <x:v>10 V or greater</x:v>
      </x:c>
      <x:c r="E57" s="6" t="str"/>
      <x:c r="F57" s="6" t="str">
        <x:v>0402</x:v>
      </x:c>
      <x:c r="G57" s="6" t="str">
        <x:v>CL05B104KO5NNNC</x:v>
      </x:c>
      <x:c r="H57" s="6" t="str">
        <x:v>C1525</x:v>
      </x:c>
      <x:c r="I57" s="6" t="str">
        <x:v>SAMSUNG(三星)</x:v>
      </x:c>
      <x:c r="J57" s="6" t="str">
        <x:v>native/search-passives.json or native/search-final-passives.json</x:v>
      </x:c>
      <x:c r="K57" s="6" t="str">
        <x:v>Sourcing proposal only; no CAD change or stock reservation</x:v>
      </x:c>
    </x:row>
    <x:row r="58" ht="39.599998474121094" hidden="0" customHeight="1">
      <x:c r="A58" s="6" t="str">
        <x:v>C143</x:v>
      </x:c>
      <x:c r="B58" s="6" t="str">
        <x:v>10nF</x:v>
      </x:c>
      <x:c r="C58" s="6" t="str">
        <x:v>5%</x:v>
      </x:c>
      <x:c r="D58" s="6" t="str">
        <x:v>25 V or greater</x:v>
      </x:c>
      <x:c r="E58" s="6" t="str"/>
      <x:c r="F58" s="6" t="str">
        <x:v>0402</x:v>
      </x:c>
      <x:c r="G58" s="6" t="str">
        <x:v>GRM1555C1E103JE01D</x:v>
      </x:c>
      <x:c r="H58" s="6" t="str">
        <x:v>C3855387</x:v>
      </x:c>
      <x:c r="I58" s="6" t="str">
        <x:v>muRata(村田)</x:v>
      </x:c>
      <x:c r="J58" s="6" t="str">
        <x:v>native/search-passives.json or native/search-final-passives.json</x:v>
      </x:c>
      <x:c r="K58" s="6" t="str">
        <x:v>Sourcing proposal only; no CAD change or stock reservation</x:v>
      </x:c>
    </x:row>
    <x:row r="59" ht="39.599998474121094" hidden="0" customHeight="1">
      <x:c r="A59" s="6" t="str">
        <x:v>C144</x:v>
      </x:c>
      <x:c r="B59" s="6" t="str">
        <x:v>100nF</x:v>
      </x:c>
      <x:c r="C59" s="6" t="str"/>
      <x:c r="D59" s="6" t="str">
        <x:v>10 V or greater</x:v>
      </x:c>
      <x:c r="E59" s="6" t="str"/>
      <x:c r="F59" s="6" t="str">
        <x:v>0402</x:v>
      </x:c>
      <x:c r="G59" s="6" t="str">
        <x:v>CL05B104KO5NNNC</x:v>
      </x:c>
      <x:c r="H59" s="6" t="str">
        <x:v>C1525</x:v>
      </x:c>
      <x:c r="I59" s="6" t="str">
        <x:v>SAMSUNG(三星)</x:v>
      </x:c>
      <x:c r="J59" s="6" t="str">
        <x:v>native/search-passives.json or native/search-final-passives.json</x:v>
      </x:c>
      <x:c r="K59" s="6" t="str">
        <x:v>Sourcing proposal only; no CAD change or stock reservation</x:v>
      </x:c>
    </x:row>
    <x:row r="60" ht="39.599998474121094" hidden="0" customHeight="1">
      <x:c r="A60" s="6" t="str">
        <x:v>C145</x:v>
      </x:c>
      <x:c r="B60" s="6" t="str">
        <x:v>100nF</x:v>
      </x:c>
      <x:c r="C60" s="6" t="str"/>
      <x:c r="D60" s="6" t="str">
        <x:v>10 V or greater</x:v>
      </x:c>
      <x:c r="E60" s="6" t="str"/>
      <x:c r="F60" s="6" t="str">
        <x:v>0402</x:v>
      </x:c>
      <x:c r="G60" s="6" t="str">
        <x:v>CL05B104KO5NNNC</x:v>
      </x:c>
      <x:c r="H60" s="6" t="str">
        <x:v>C1525</x:v>
      </x:c>
      <x:c r="I60" s="6" t="str">
        <x:v>SAMSUNG(三星)</x:v>
      </x:c>
      <x:c r="J60" s="6" t="str">
        <x:v>native/search-passives.json or native/search-final-passives.json</x:v>
      </x:c>
      <x:c r="K60" s="6" t="str">
        <x:v>Sourcing proposal only; no CAD change or stock reservation</x:v>
      </x:c>
    </x:row>
    <x:row r="61" ht="39.599998474121094" hidden="0" customHeight="1">
      <x:c r="A61" s="6" t="str">
        <x:v>C146</x:v>
      </x:c>
      <x:c r="B61" s="6" t="str">
        <x:v>10nF</x:v>
      </x:c>
      <x:c r="C61" s="6" t="str">
        <x:v>5%</x:v>
      </x:c>
      <x:c r="D61" s="6" t="str">
        <x:v>25 V or greater</x:v>
      </x:c>
      <x:c r="E61" s="6" t="str"/>
      <x:c r="F61" s="6" t="str">
        <x:v>0402</x:v>
      </x:c>
      <x:c r="G61" s="6" t="str">
        <x:v>GRM1555C1E103JE01D</x:v>
      </x:c>
      <x:c r="H61" s="6" t="str">
        <x:v>C3855387</x:v>
      </x:c>
      <x:c r="I61" s="6" t="str">
        <x:v>muRata(村田)</x:v>
      </x:c>
      <x:c r="J61" s="6" t="str">
        <x:v>native/search-passives.json or native/search-final-passives.json</x:v>
      </x:c>
      <x:c r="K61" s="6" t="str">
        <x:v>Sourcing proposal only; no CAD change or stock reservation</x:v>
      </x:c>
    </x:row>
    <x:row r="62" ht="39.599998474121094" hidden="0" customHeight="1">
      <x:c r="A62" s="6" t="str">
        <x:v>C147</x:v>
      </x:c>
      <x:c r="B62" s="6" t="str">
        <x:v>100nF</x:v>
      </x:c>
      <x:c r="C62" s="6" t="str"/>
      <x:c r="D62" s="6" t="str">
        <x:v>10 V or greater</x:v>
      </x:c>
      <x:c r="E62" s="6" t="str"/>
      <x:c r="F62" s="6" t="str">
        <x:v>0402</x:v>
      </x:c>
      <x:c r="G62" s="6" t="str">
        <x:v>CL05B104KO5NNNC</x:v>
      </x:c>
      <x:c r="H62" s="6" t="str">
        <x:v>C1525</x:v>
      </x:c>
      <x:c r="I62" s="6" t="str">
        <x:v>SAMSUNG(三星)</x:v>
      </x:c>
      <x:c r="J62" s="6" t="str">
        <x:v>native/search-passives.json or native/search-final-passives.json</x:v>
      </x:c>
      <x:c r="K62" s="6" t="str">
        <x:v>Sourcing proposal only; no CAD change or stock reservation</x:v>
      </x:c>
    </x:row>
    <x:row r="63" ht="39.599998474121094" hidden="0" customHeight="1">
      <x:c r="A63" s="6" t="str">
        <x:v>C148</x:v>
      </x:c>
      <x:c r="B63" s="6" t="str">
        <x:v>100nF</x:v>
      </x:c>
      <x:c r="C63" s="6" t="str"/>
      <x:c r="D63" s="6" t="str">
        <x:v>10 V or greater</x:v>
      </x:c>
      <x:c r="E63" s="6" t="str"/>
      <x:c r="F63" s="6" t="str">
        <x:v>0402</x:v>
      </x:c>
      <x:c r="G63" s="6" t="str">
        <x:v>CL05B104KO5NNNC</x:v>
      </x:c>
      <x:c r="H63" s="6" t="str">
        <x:v>C1525</x:v>
      </x:c>
      <x:c r="I63" s="6" t="str">
        <x:v>SAMSUNG(三星)</x:v>
      </x:c>
      <x:c r="J63" s="6" t="str">
        <x:v>native/search-passives.json or native/search-final-passives.json</x:v>
      </x:c>
      <x:c r="K63" s="6" t="str">
        <x:v>Sourcing proposal only; no CAD change or stock reservation</x:v>
      </x:c>
    </x:row>
    <x:row r="64" ht="39.599998474121094" hidden="0" customHeight="1">
      <x:c r="A64" s="6" t="str">
        <x:v>C149</x:v>
      </x:c>
      <x:c r="B64" s="6" t="str">
        <x:v>10nF</x:v>
      </x:c>
      <x:c r="C64" s="6" t="str">
        <x:v>5%</x:v>
      </x:c>
      <x:c r="D64" s="6" t="str">
        <x:v>25 V or greater</x:v>
      </x:c>
      <x:c r="E64" s="6" t="str"/>
      <x:c r="F64" s="6" t="str">
        <x:v>0402</x:v>
      </x:c>
      <x:c r="G64" s="6" t="str">
        <x:v>GRM1555C1E103JE01D</x:v>
      </x:c>
      <x:c r="H64" s="6" t="str">
        <x:v>C3855387</x:v>
      </x:c>
      <x:c r="I64" s="6" t="str">
        <x:v>muRata(村田)</x:v>
      </x:c>
      <x:c r="J64" s="6" t="str">
        <x:v>native/search-passives.json or native/search-final-passives.json</x:v>
      </x:c>
      <x:c r="K64" s="6" t="str">
        <x:v>Sourcing proposal only; no CAD change or stock reservation</x:v>
      </x:c>
    </x:row>
    <x:row r="65" ht="39.599998474121094" hidden="0" customHeight="1">
      <x:c r="A65" s="6" t="str">
        <x:v>C150</x:v>
      </x:c>
      <x:c r="B65" s="6" t="str">
        <x:v>4.7uF</x:v>
      </x:c>
      <x:c r="C65" s="6" t="str"/>
      <x:c r="D65" s="6" t="str">
        <x:v>10 V</x:v>
      </x:c>
      <x:c r="E65" s="6" t="str"/>
      <x:c r="F65" s="6" t="str">
        <x:v>0805</x:v>
      </x:c>
      <x:c r="G65" s="6" t="str">
        <x:v>CL21A475KAQNNNE</x:v>
      </x:c>
      <x:c r="H65" s="6" t="str">
        <x:v>C1779</x:v>
      </x:c>
      <x:c r="I65" s="6" t="str">
        <x:v>SAMSUNG(三星)</x:v>
      </x:c>
      <x:c r="J65" s="6" t="str">
        <x:v>native/search-passives.json or native/search-final-passives.json</x:v>
      </x:c>
      <x:c r="K65" s="6" t="str">
        <x:v>Sourcing proposal only; no CAD change or stock reservation</x:v>
      </x:c>
    </x:row>
    <x:row r="66" ht="39.599998474121094" hidden="0" customHeight="1">
      <x:c r="A66" s="6" t="str">
        <x:v>C151</x:v>
      </x:c>
      <x:c r="B66" s="6" t="str">
        <x:v>4.7uF</x:v>
      </x:c>
      <x:c r="C66" s="6" t="str"/>
      <x:c r="D66" s="6" t="str">
        <x:v>10 V</x:v>
      </x:c>
      <x:c r="E66" s="6" t="str"/>
      <x:c r="F66" s="6" t="str">
        <x:v>0805</x:v>
      </x:c>
      <x:c r="G66" s="6" t="str">
        <x:v>CL21A475KAQNNNE</x:v>
      </x:c>
      <x:c r="H66" s="6" t="str">
        <x:v>C1779</x:v>
      </x:c>
      <x:c r="I66" s="6" t="str">
        <x:v>SAMSUNG(三星)</x:v>
      </x:c>
      <x:c r="J66" s="6" t="str">
        <x:v>native/search-passives.json or native/search-final-passives.json</x:v>
      </x:c>
      <x:c r="K66" s="6" t="str">
        <x:v>Sourcing proposal only; no CAD change or stock reservation</x:v>
      </x:c>
    </x:row>
    <x:row r="67" ht="39.599998474121094" hidden="0" customHeight="1">
      <x:c r="A67" s="6" t="str">
        <x:v>C152</x:v>
      </x:c>
      <x:c r="B67" s="6" t="str">
        <x:v>4.7uF</x:v>
      </x:c>
      <x:c r="C67" s="6" t="str"/>
      <x:c r="D67" s="6" t="str">
        <x:v>10 V</x:v>
      </x:c>
      <x:c r="E67" s="6" t="str"/>
      <x:c r="F67" s="6" t="str">
        <x:v>0805</x:v>
      </x:c>
      <x:c r="G67" s="6" t="str">
        <x:v>CL21A475KAQNNNE</x:v>
      </x:c>
      <x:c r="H67" s="6" t="str">
        <x:v>C1779</x:v>
      </x:c>
      <x:c r="I67" s="6" t="str">
        <x:v>SAMSUNG(三星)</x:v>
      </x:c>
      <x:c r="J67" s="6" t="str">
        <x:v>native/search-passives.json or native/search-final-passives.json</x:v>
      </x:c>
      <x:c r="K67" s="6" t="str">
        <x:v>Sourcing proposal only; no CAD change or stock reservation</x:v>
      </x:c>
    </x:row>
    <x:row r="68" ht="39.599998474121094" hidden="0" customHeight="1">
      <x:c r="A68" s="6" t="str">
        <x:v>C153</x:v>
      </x:c>
      <x:c r="B68" s="6" t="str">
        <x:v>4.7uF</x:v>
      </x:c>
      <x:c r="C68" s="6" t="str"/>
      <x:c r="D68" s="6" t="str">
        <x:v>10 V</x:v>
      </x:c>
      <x:c r="E68" s="6" t="str"/>
      <x:c r="F68" s="6" t="str">
        <x:v>0805</x:v>
      </x:c>
      <x:c r="G68" s="6" t="str">
        <x:v>CL21A475KAQNNNE</x:v>
      </x:c>
      <x:c r="H68" s="6" t="str">
        <x:v>C1779</x:v>
      </x:c>
      <x:c r="I68" s="6" t="str">
        <x:v>SAMSUNG(三星)</x:v>
      </x:c>
      <x:c r="J68" s="6" t="str">
        <x:v>native/search-passives.json or native/search-final-passives.json</x:v>
      </x:c>
      <x:c r="K68" s="6" t="str">
        <x:v>Sourcing proposal only; no CAD change or stock reservation</x:v>
      </x:c>
    </x:row>
    <x:row r="69" ht="39.599998474121094" hidden="0" customHeight="1">
      <x:c r="A69" s="6" t="str">
        <x:v>C154</x:v>
      </x:c>
      <x:c r="B69" s="6" t="str">
        <x:v>4.7uF</x:v>
      </x:c>
      <x:c r="C69" s="6" t="str"/>
      <x:c r="D69" s="6" t="str">
        <x:v>10 V</x:v>
      </x:c>
      <x:c r="E69" s="6" t="str"/>
      <x:c r="F69" s="6" t="str">
        <x:v>0805</x:v>
      </x:c>
      <x:c r="G69" s="6" t="str">
        <x:v>CL21A475KAQNNNE</x:v>
      </x:c>
      <x:c r="H69" s="6" t="str">
        <x:v>C1779</x:v>
      </x:c>
      <x:c r="I69" s="6" t="str">
        <x:v>SAMSUNG(三星)</x:v>
      </x:c>
      <x:c r="J69" s="6" t="str">
        <x:v>native/search-passives.json or native/search-final-passives.json</x:v>
      </x:c>
      <x:c r="K69" s="6" t="str">
        <x:v>Sourcing proposal only; no CAD change or stock reservation</x:v>
      </x:c>
    </x:row>
    <x:row r="70" ht="39.599998474121094" hidden="0" customHeight="1">
      <x:c r="A70" s="6" t="str">
        <x:v>C155</x:v>
      </x:c>
      <x:c r="B70" s="6" t="str">
        <x:v>10nF</x:v>
      </x:c>
      <x:c r="C70" s="6" t="str">
        <x:v>5%</x:v>
      </x:c>
      <x:c r="D70" s="6" t="str">
        <x:v>25 V or greater</x:v>
      </x:c>
      <x:c r="E70" s="6" t="str"/>
      <x:c r="F70" s="6" t="str">
        <x:v>0402</x:v>
      </x:c>
      <x:c r="G70" s="6" t="str">
        <x:v>GRM1555C1E103JE01D</x:v>
      </x:c>
      <x:c r="H70" s="6" t="str">
        <x:v>C3855387</x:v>
      </x:c>
      <x:c r="I70" s="6" t="str">
        <x:v>muRata(村田)</x:v>
      </x:c>
      <x:c r="J70" s="6" t="str">
        <x:v>native/search-passives.json or native/search-final-passives.json</x:v>
      </x:c>
      <x:c r="K70" s="6" t="str">
        <x:v>Sourcing proposal only; no CAD change or stock reservation</x:v>
      </x:c>
    </x:row>
    <x:row r="71" ht="39.599998474121094" hidden="0" customHeight="1">
      <x:c r="A71" s="6" t="str">
        <x:v>C156</x:v>
      </x:c>
      <x:c r="B71" s="6" t="str">
        <x:v>4.7uF</x:v>
      </x:c>
      <x:c r="C71" s="6" t="str"/>
      <x:c r="D71" s="6" t="str">
        <x:v>10 V</x:v>
      </x:c>
      <x:c r="E71" s="6" t="str"/>
      <x:c r="F71" s="6" t="str">
        <x:v>0805</x:v>
      </x:c>
      <x:c r="G71" s="6" t="str">
        <x:v>CL21A475KAQNNNE</x:v>
      </x:c>
      <x:c r="H71" s="6" t="str">
        <x:v>C1779</x:v>
      </x:c>
      <x:c r="I71" s="6" t="str">
        <x:v>SAMSUNG(三星)</x:v>
      </x:c>
      <x:c r="J71" s="6" t="str">
        <x:v>native/search-passives.json or native/search-final-passives.json</x:v>
      </x:c>
      <x:c r="K71" s="6" t="str">
        <x:v>Sourcing proposal only; no CAD change or stock reservation</x:v>
      </x:c>
    </x:row>
    <x:row r="72" ht="39.599998474121094" hidden="0" customHeight="1">
      <x:c r="A72" s="6" t="str">
        <x:v>C157</x:v>
      </x:c>
      <x:c r="B72" s="6" t="str">
        <x:v>4.7uF</x:v>
      </x:c>
      <x:c r="C72" s="6" t="str"/>
      <x:c r="D72" s="6" t="str">
        <x:v>10 V</x:v>
      </x:c>
      <x:c r="E72" s="6" t="str"/>
      <x:c r="F72" s="6" t="str">
        <x:v>0805</x:v>
      </x:c>
      <x:c r="G72" s="6" t="str">
        <x:v>CL21A475KAQNNNE</x:v>
      </x:c>
      <x:c r="H72" s="6" t="str">
        <x:v>C1779</x:v>
      </x:c>
      <x:c r="I72" s="6" t="str">
        <x:v>SAMSUNG(三星)</x:v>
      </x:c>
      <x:c r="J72" s="6" t="str">
        <x:v>native/search-passives.json or native/search-final-passives.json</x:v>
      </x:c>
      <x:c r="K72" s="6" t="str">
        <x:v>Sourcing proposal only; no CAD change or stock reservation</x:v>
      </x:c>
    </x:row>
    <x:row r="73" ht="39.599998474121094" hidden="0" customHeight="1">
      <x:c r="A73" s="6" t="str">
        <x:v>C158</x:v>
      </x:c>
      <x:c r="B73" s="6" t="str">
        <x:v>4.7uF</x:v>
      </x:c>
      <x:c r="C73" s="6" t="str"/>
      <x:c r="D73" s="6" t="str">
        <x:v>10 V or greater</x:v>
      </x:c>
      <x:c r="E73" s="6" t="str"/>
      <x:c r="F73" s="6" t="str">
        <x:v>0805</x:v>
      </x:c>
      <x:c r="G73" s="6" t="str">
        <x:v>CL21A475KAQNNNE</x:v>
      </x:c>
      <x:c r="H73" s="6" t="str">
        <x:v>C1779</x:v>
      </x:c>
      <x:c r="I73" s="6" t="str">
        <x:v>SAMSUNG(三星)</x:v>
      </x:c>
      <x:c r="J73" s="6" t="str">
        <x:v>native/search-passives.json or native/search-final-passives.json</x:v>
      </x:c>
      <x:c r="K73" s="6" t="str">
        <x:v>Sourcing proposal only; no CAD change or stock reservation</x:v>
      </x:c>
    </x:row>
    <x:row r="74" ht="39.599998474121094" hidden="0" customHeight="1">
      <x:c r="A74" s="6" t="str">
        <x:v>C159</x:v>
      </x:c>
      <x:c r="B74" s="6" t="str">
        <x:v>4.7uF</x:v>
      </x:c>
      <x:c r="C74" s="6" t="str"/>
      <x:c r="D74" s="6" t="str">
        <x:v>10 V or greater</x:v>
      </x:c>
      <x:c r="E74" s="6" t="str"/>
      <x:c r="F74" s="6" t="str">
        <x:v>0805</x:v>
      </x:c>
      <x:c r="G74" s="6" t="str">
        <x:v>CL21A475KAQNNNE</x:v>
      </x:c>
      <x:c r="H74" s="6" t="str">
        <x:v>C1779</x:v>
      </x:c>
      <x:c r="I74" s="6" t="str">
        <x:v>SAMSUNG(三星)</x:v>
      </x:c>
      <x:c r="J74" s="6" t="str">
        <x:v>native/search-passives.json or native/search-final-passives.json</x:v>
      </x:c>
      <x:c r="K74" s="6" t="str">
        <x:v>Sourcing proposal only; no CAD change or stock reservation</x:v>
      </x:c>
    </x:row>
    <x:row r="75" ht="39.599998474121094" hidden="0" customHeight="1">
      <x:c r="A75" s="6" t="str">
        <x:v>C160</x:v>
      </x:c>
      <x:c r="B75" s="6" t="str">
        <x:v>100nF</x:v>
      </x:c>
      <x:c r="C75" s="6" t="str"/>
      <x:c r="D75" s="6" t="str">
        <x:v>10 V or greater</x:v>
      </x:c>
      <x:c r="E75" s="6" t="str"/>
      <x:c r="F75" s="6" t="str">
        <x:v>0402</x:v>
      </x:c>
      <x:c r="G75" s="6" t="str">
        <x:v>CL05B104KO5NNNC</x:v>
      </x:c>
      <x:c r="H75" s="6" t="str">
        <x:v>C1525</x:v>
      </x:c>
      <x:c r="I75" s="6" t="str">
        <x:v>SAMSUNG(三星)</x:v>
      </x:c>
      <x:c r="J75" s="6" t="str">
        <x:v>native/search-passives.json or native/search-final-passives.json</x:v>
      </x:c>
      <x:c r="K75" s="6" t="str">
        <x:v>Sourcing proposal only; no CAD change or stock reservation</x:v>
      </x:c>
    </x:row>
    <x:row r="76" ht="39.599998474121094" hidden="0" customHeight="1">
      <x:c r="A76" s="6" t="str">
        <x:v>R140</x:v>
      </x:c>
      <x:c r="B76" s="6" t="str">
        <x:v>3.32k</x:v>
      </x:c>
      <x:c r="C76" s="6" t="str">
        <x:v>0.1%</x:v>
      </x:c>
      <x:c r="D76" s="6" t="str"/>
      <x:c r="E76" s="6" t="str">
        <x:v>25 ppm/K or better</x:v>
      </x:c>
      <x:c r="F76" s="6" t="str">
        <x:v>0402</x:v>
      </x:c>
      <x:c r="G76" s="6" t="str">
        <x:v>RT0402BRD073K32L</x:v>
      </x:c>
      <x:c r="H76" s="6" t="str">
        <x:v>C852762</x:v>
      </x:c>
      <x:c r="I76" s="6" t="str">
        <x:v>YAGEO(国巨)</x:v>
      </x:c>
      <x:c r="J76" s="6" t="str">
        <x:v>native/search-passives.json or native/search-final-passives.json</x:v>
      </x:c>
      <x:c r="K76" s="6" t="str">
        <x:v>Sourcing proposal only; no CAD change or stock reservation</x:v>
      </x:c>
    </x:row>
    <x:row r="77" ht="39.599998474121094" hidden="0" customHeight="1">
      <x:c r="A77" s="6" t="str">
        <x:v>R141</x:v>
      </x:c>
      <x:c r="B77" s="6" t="str">
        <x:v>47</x:v>
      </x:c>
      <x:c r="C77" s="6" t="str">
        <x:v>1%</x:v>
      </x:c>
      <x:c r="D77" s="6" t="str"/>
      <x:c r="E77" s="6" t="str"/>
      <x:c r="F77" s="6" t="str">
        <x:v>0402</x:v>
      </x:c>
      <x:c r="G77" s="6" t="str">
        <x:v>0402WGF470JTCE</x:v>
      </x:c>
      <x:c r="H77" s="6" t="str">
        <x:v>C25118</x:v>
      </x:c>
      <x:c r="I77" s="6" t="str">
        <x:v>UNI-ROYAL(厚声)</x:v>
      </x:c>
      <x:c r="J77" s="6" t="str">
        <x:v>native/search-passives.json or native/search-final-passives.json</x:v>
      </x:c>
      <x:c r="K77" s="6" t="str">
        <x:v>Sourcing proposal only; no CAD change or stock reservation</x:v>
      </x:c>
    </x:row>
    <x:row r="78" ht="39.599998474121094" hidden="0" customHeight="1">
      <x:c r="A78" s="6" t="str">
        <x:v>R142</x:v>
      </x:c>
      <x:c r="B78" s="6" t="str">
        <x:v>3.32k</x:v>
      </x:c>
      <x:c r="C78" s="6" t="str">
        <x:v>0.1%</x:v>
      </x:c>
      <x:c r="D78" s="6" t="str"/>
      <x:c r="E78" s="6" t="str">
        <x:v>25 ppm/K or better</x:v>
      </x:c>
      <x:c r="F78" s="6" t="str">
        <x:v>0402</x:v>
      </x:c>
      <x:c r="G78" s="6" t="str">
        <x:v>RT0402BRD073K32L</x:v>
      </x:c>
      <x:c r="H78" s="6" t="str">
        <x:v>C852762</x:v>
      </x:c>
      <x:c r="I78" s="6" t="str">
        <x:v>YAGEO(国巨)</x:v>
      </x:c>
      <x:c r="J78" s="6" t="str">
        <x:v>native/search-passives.json or native/search-final-passives.json</x:v>
      </x:c>
      <x:c r="K78" s="6" t="str">
        <x:v>Sourcing proposal only; no CAD change or stock reservation</x:v>
      </x:c>
    </x:row>
    <x:row r="79" ht="39.599998474121094" hidden="0" customHeight="1">
      <x:c r="A79" s="6" t="str">
        <x:v>R143</x:v>
      </x:c>
      <x:c r="B79" s="6" t="str">
        <x:v>47</x:v>
      </x:c>
      <x:c r="C79" s="6" t="str">
        <x:v>1%</x:v>
      </x:c>
      <x:c r="D79" s="6" t="str"/>
      <x:c r="E79" s="6" t="str"/>
      <x:c r="F79" s="6" t="str">
        <x:v>0402</x:v>
      </x:c>
      <x:c r="G79" s="6" t="str">
        <x:v>0402WGF470JTCE</x:v>
      </x:c>
      <x:c r="H79" s="6" t="str">
        <x:v>C25118</x:v>
      </x:c>
      <x:c r="I79" s="6" t="str">
        <x:v>UNI-ROYAL(厚声)</x:v>
      </x:c>
      <x:c r="J79" s="6" t="str">
        <x:v>native/search-passives.json or native/search-final-passives.json</x:v>
      </x:c>
      <x:c r="K79" s="6" t="str">
        <x:v>Sourcing proposal only; no CAD change or stock reservation</x:v>
      </x:c>
    </x:row>
    <x:row r="80" ht="39.599998474121094" hidden="0" customHeight="1">
      <x:c r="A80" s="6" t="str">
        <x:v>R144</x:v>
      </x:c>
      <x:c r="B80" s="6" t="str">
        <x:v>3.32k</x:v>
      </x:c>
      <x:c r="C80" s="6" t="str">
        <x:v>0.1%</x:v>
      </x:c>
      <x:c r="D80" s="6" t="str"/>
      <x:c r="E80" s="6" t="str">
        <x:v>25 ppm/K or better</x:v>
      </x:c>
      <x:c r="F80" s="6" t="str">
        <x:v>0402</x:v>
      </x:c>
      <x:c r="G80" s="6" t="str">
        <x:v>RT0402BRD073K32L</x:v>
      </x:c>
      <x:c r="H80" s="6" t="str">
        <x:v>C852762</x:v>
      </x:c>
      <x:c r="I80" s="6" t="str">
        <x:v>YAGEO(国巨)</x:v>
      </x:c>
      <x:c r="J80" s="6" t="str">
        <x:v>native/search-passives.json or native/search-final-passives.json</x:v>
      </x:c>
      <x:c r="K80" s="6" t="str">
        <x:v>Sourcing proposal only; no CAD change or stock reservation</x:v>
      </x:c>
    </x:row>
    <x:row r="81" ht="39.599998474121094" hidden="0" customHeight="1">
      <x:c r="A81" s="6" t="str">
        <x:v>R145</x:v>
      </x:c>
      <x:c r="B81" s="6" t="str">
        <x:v>47</x:v>
      </x:c>
      <x:c r="C81" s="6" t="str">
        <x:v>1%</x:v>
      </x:c>
      <x:c r="D81" s="6" t="str"/>
      <x:c r="E81" s="6" t="str"/>
      <x:c r="F81" s="6" t="str">
        <x:v>0402</x:v>
      </x:c>
      <x:c r="G81" s="6" t="str">
        <x:v>0402WGF470JTCE</x:v>
      </x:c>
      <x:c r="H81" s="6" t="str">
        <x:v>C25118</x:v>
      </x:c>
      <x:c r="I81" s="6" t="str">
        <x:v>UNI-ROYAL(厚声)</x:v>
      </x:c>
      <x:c r="J81" s="6" t="str">
        <x:v>native/search-passives.json or native/search-final-passives.json</x:v>
      </x:c>
      <x:c r="K81" s="6" t="str">
        <x:v>Sourcing proposal only; no CAD change or stock reservation</x:v>
      </x:c>
    </x:row>
    <x:row r="82" ht="39.599998474121094" hidden="0" customHeight="1">
      <x:c r="A82" s="6" t="str">
        <x:v>R152</x:v>
      </x:c>
      <x:c r="B82" s="6" t="str">
        <x:v>3.32k</x:v>
      </x:c>
      <x:c r="C82" s="6" t="str">
        <x:v>0.1%</x:v>
      </x:c>
      <x:c r="D82" s="6" t="str"/>
      <x:c r="E82" s="6" t="str">
        <x:v>25 ppm/K or better</x:v>
      </x:c>
      <x:c r="F82" s="6" t="str">
        <x:v>0402</x:v>
      </x:c>
      <x:c r="G82" s="6" t="str">
        <x:v>RT0402BRD073K32L</x:v>
      </x:c>
      <x:c r="H82" s="6" t="str">
        <x:v>C852762</x:v>
      </x:c>
      <x:c r="I82" s="6" t="str">
        <x:v>YAGEO(国巨)</x:v>
      </x:c>
      <x:c r="J82" s="6" t="str">
        <x:v>native/search-passives.json or native/search-final-passives.json</x:v>
      </x:c>
      <x:c r="K82" s="6" t="str">
        <x:v>Sourcing proposal only; no CAD change or stock reservation</x:v>
      </x:c>
    </x:row>
    <x:row r="83" ht="39.599998474121094" hidden="0" customHeight="1">
      <x:c r="A83" s="6" t="str">
        <x:v>R153</x:v>
      </x:c>
      <x:c r="B83" s="6" t="str">
        <x:v>47</x:v>
      </x:c>
      <x:c r="C83" s="6" t="str">
        <x:v>1%</x:v>
      </x:c>
      <x:c r="D83" s="6" t="str"/>
      <x:c r="E83" s="6" t="str"/>
      <x:c r="F83" s="6" t="str">
        <x:v>0402</x:v>
      </x:c>
      <x:c r="G83" s="6" t="str">
        <x:v>0402WGF470JTCE</x:v>
      </x:c>
      <x:c r="H83" s="6" t="str">
        <x:v>C25118</x:v>
      </x:c>
      <x:c r="I83" s="6" t="str">
        <x:v>UNI-ROYAL(厚声)</x:v>
      </x:c>
      <x:c r="J83" s="6" t="str">
        <x:v>native/search-passives.json or native/search-final-passives.json</x:v>
      </x:c>
      <x:c r="K83" s="6" t="str">
        <x:v>Sourcing proposal only; no CAD change or stock reservation</x:v>
      </x:c>
    </x:row>
    <x:row r="84" ht="39.599998474121094" hidden="0" customHeight="1">
      <x:c r="A84" s="6" t="str">
        <x:v>R154</x:v>
      </x:c>
      <x:c r="B84" s="6" t="str">
        <x:v>3.32k</x:v>
      </x:c>
      <x:c r="C84" s="6" t="str">
        <x:v>0.1%</x:v>
      </x:c>
      <x:c r="D84" s="6" t="str"/>
      <x:c r="E84" s="6" t="str">
        <x:v>25 ppm/K or better</x:v>
      </x:c>
      <x:c r="F84" s="6" t="str">
        <x:v>0402</x:v>
      </x:c>
      <x:c r="G84" s="6" t="str">
        <x:v>RT0402BRD073K32L</x:v>
      </x:c>
      <x:c r="H84" s="6" t="str">
        <x:v>C852762</x:v>
      </x:c>
      <x:c r="I84" s="6" t="str">
        <x:v>YAGEO(国巨)</x:v>
      </x:c>
      <x:c r="J84" s="6" t="str">
        <x:v>native/search-passives.json or native/search-final-passives.json</x:v>
      </x:c>
      <x:c r="K84" s="6" t="str">
        <x:v>Sourcing proposal only; no CAD change or stock reservation</x:v>
      </x:c>
    </x:row>
    <x:row r="85" ht="39.599998474121094" hidden="0" customHeight="1">
      <x:c r="A85" s="6" t="str">
        <x:v>R155</x:v>
      </x:c>
      <x:c r="B85" s="6" t="str">
        <x:v>47</x:v>
      </x:c>
      <x:c r="C85" s="6" t="str">
        <x:v>1%</x:v>
      </x:c>
      <x:c r="D85" s="6" t="str"/>
      <x:c r="E85" s="6" t="str"/>
      <x:c r="F85" s="6" t="str">
        <x:v>0402</x:v>
      </x:c>
      <x:c r="G85" s="6" t="str">
        <x:v>0402WGF470JTCE</x:v>
      </x:c>
      <x:c r="H85" s="6" t="str">
        <x:v>C25118</x:v>
      </x:c>
      <x:c r="I85" s="6" t="str">
        <x:v>UNI-ROYAL(厚声)</x:v>
      </x:c>
      <x:c r="J85" s="6" t="str">
        <x:v>native/search-passives.json or native/search-final-passives.json</x:v>
      </x:c>
      <x:c r="K85" s="6" t="str">
        <x:v>Sourcing proposal only; no CAD change or stock reservation</x:v>
      </x:c>
    </x:row>
    <x:row r="86" ht="39.599998474121094" hidden="0" customHeight="1">
      <x:c r="A86" s="6" t="str">
        <x:v>R156</x:v>
      </x:c>
      <x:c r="B86" s="6" t="str">
        <x:v>3.32k</x:v>
      </x:c>
      <x:c r="C86" s="6" t="str">
        <x:v>0.1%</x:v>
      </x:c>
      <x:c r="D86" s="6" t="str"/>
      <x:c r="E86" s="6" t="str">
        <x:v>25 ppm/K or better</x:v>
      </x:c>
      <x:c r="F86" s="6" t="str">
        <x:v>0402</x:v>
      </x:c>
      <x:c r="G86" s="6" t="str">
        <x:v>RT0402BRD073K32L</x:v>
      </x:c>
      <x:c r="H86" s="6" t="str">
        <x:v>C852762</x:v>
      </x:c>
      <x:c r="I86" s="6" t="str">
        <x:v>YAGEO(国巨)</x:v>
      </x:c>
      <x:c r="J86" s="6" t="str">
        <x:v>native/search-passives.json or native/search-final-passives.json</x:v>
      </x:c>
      <x:c r="K86" s="6" t="str">
        <x:v>Sourcing proposal only; no CAD change or stock reservation</x:v>
      </x:c>
    </x:row>
    <x:row r="87" ht="39.599998474121094" hidden="0" customHeight="1">
      <x:c r="A87" s="6" t="str">
        <x:v>R157</x:v>
      </x:c>
      <x:c r="B87" s="6" t="str">
        <x:v>47</x:v>
      </x:c>
      <x:c r="C87" s="6" t="str">
        <x:v>1%</x:v>
      </x:c>
      <x:c r="D87" s="6" t="str"/>
      <x:c r="E87" s="6" t="str"/>
      <x:c r="F87" s="6" t="str">
        <x:v>0402</x:v>
      </x:c>
      <x:c r="G87" s="6" t="str">
        <x:v>0402WGF470JTCE</x:v>
      </x:c>
      <x:c r="H87" s="6" t="str">
        <x:v>C25118</x:v>
      </x:c>
      <x:c r="I87" s="6" t="str">
        <x:v>UNI-ROYAL(厚声)</x:v>
      </x:c>
      <x:c r="J87" s="6" t="str">
        <x:v>native/search-passives.json or native/search-final-passives.json</x:v>
      </x:c>
      <x:c r="K87" s="6" t="str">
        <x:v>Sourcing proposal only; no CAD change or stock reservation</x:v>
      </x:c>
    </x:row>
    <x:row r="88" ht="39.599998474121094" hidden="0" customHeight="1">
      <x:c r="A88" s="6" t="str">
        <x:v>R165</x:v>
      </x:c>
      <x:c r="B88" s="6" t="str">
        <x:v>3.32k</x:v>
      </x:c>
      <x:c r="C88" s="6" t="str">
        <x:v>0.1%</x:v>
      </x:c>
      <x:c r="D88" s="6" t="str"/>
      <x:c r="E88" s="6" t="str">
        <x:v>25 ppm/K or better</x:v>
      </x:c>
      <x:c r="F88" s="6" t="str">
        <x:v>0402</x:v>
      </x:c>
      <x:c r="G88" s="6" t="str">
        <x:v>RT0402BRD073K32L</x:v>
      </x:c>
      <x:c r="H88" s="6" t="str">
        <x:v>C852762</x:v>
      </x:c>
      <x:c r="I88" s="6" t="str">
        <x:v>YAGEO(国巨)</x:v>
      </x:c>
      <x:c r="J88" s="6" t="str">
        <x:v>native/search-passives.json or native/search-final-passives.json</x:v>
      </x:c>
      <x:c r="K88" s="6" t="str">
        <x:v>Sourcing proposal only; no CAD change or stock reservation</x:v>
      </x:c>
    </x:row>
    <x:row r="89" ht="39.599998474121094" hidden="0" customHeight="1">
      <x:c r="A89" s="6" t="str">
        <x:v>R166</x:v>
      </x:c>
      <x:c r="B89" s="6" t="str">
        <x:v>47</x:v>
      </x:c>
      <x:c r="C89" s="6" t="str">
        <x:v>1%</x:v>
      </x:c>
      <x:c r="D89" s="6" t="str"/>
      <x:c r="E89" s="6" t="str"/>
      <x:c r="F89" s="6" t="str">
        <x:v>0402</x:v>
      </x:c>
      <x:c r="G89" s="6" t="str">
        <x:v>0402WGF470JTCE</x:v>
      </x:c>
      <x:c r="H89" s="6" t="str">
        <x:v>C25118</x:v>
      </x:c>
      <x:c r="I89" s="6" t="str">
        <x:v>UNI-ROYAL(厚声)</x:v>
      </x:c>
      <x:c r="J89" s="6" t="str">
        <x:v>native/search-passives.json or native/search-final-passives.json</x:v>
      </x:c>
      <x:c r="K89" s="6" t="str">
        <x:v>Sourcing proposal only; no CAD change or stock reservation</x:v>
      </x:c>
    </x:row>
    <x:row r="90" ht="39.599998474121094" hidden="0" customHeight="1">
      <x:c r="A90" s="6" t="str">
        <x:v>R167</x:v>
      </x:c>
      <x:c r="B90" s="6" t="str">
        <x:v>3.32k</x:v>
      </x:c>
      <x:c r="C90" s="6" t="str">
        <x:v>0.1%</x:v>
      </x:c>
      <x:c r="D90" s="6" t="str"/>
      <x:c r="E90" s="6" t="str">
        <x:v>25 ppm/K or better</x:v>
      </x:c>
      <x:c r="F90" s="6" t="str">
        <x:v>0402</x:v>
      </x:c>
      <x:c r="G90" s="6" t="str">
        <x:v>RT0402BRD073K32L</x:v>
      </x:c>
      <x:c r="H90" s="6" t="str">
        <x:v>C852762</x:v>
      </x:c>
      <x:c r="I90" s="6" t="str">
        <x:v>YAGEO(国巨)</x:v>
      </x:c>
      <x:c r="J90" s="6" t="str">
        <x:v>native/search-passives.json or native/search-final-passives.json</x:v>
      </x:c>
      <x:c r="K90" s="6" t="str">
        <x:v>Sourcing proposal only; no CAD change or stock reservation</x:v>
      </x:c>
    </x:row>
    <x:row r="91" ht="39.599998474121094" hidden="0" customHeight="1">
      <x:c r="A91" s="6" t="str">
        <x:v>R168</x:v>
      </x:c>
      <x:c r="B91" s="6" t="str">
        <x:v>47</x:v>
      </x:c>
      <x:c r="C91" s="6" t="str">
        <x:v>1%</x:v>
      </x:c>
      <x:c r="D91" s="6" t="str"/>
      <x:c r="E91" s="6" t="str"/>
      <x:c r="F91" s="6" t="str">
        <x:v>0402</x:v>
      </x:c>
      <x:c r="G91" s="6" t="str">
        <x:v>0402WGF470JTCE</x:v>
      </x:c>
      <x:c r="H91" s="6" t="str">
        <x:v>C25118</x:v>
      </x:c>
      <x:c r="I91" s="6" t="str">
        <x:v>UNI-ROYAL(厚声)</x:v>
      </x:c>
      <x:c r="J91" s="6" t="str">
        <x:v>native/search-passives.json or native/search-final-passives.json</x:v>
      </x:c>
      <x:c r="K91" s="6" t="str">
        <x:v>Sourcing proposal only; no CAD change or stock reservation</x:v>
      </x:c>
    </x:row>
    <x:row r="92" ht="39.599998474121094" hidden="0" customHeight="1">
      <x:c r="A92" s="6" t="str">
        <x:v>R169</x:v>
      </x:c>
      <x:c r="B92" s="6" t="str">
        <x:v>3.32k</x:v>
      </x:c>
      <x:c r="C92" s="6" t="str">
        <x:v>0.1%</x:v>
      </x:c>
      <x:c r="D92" s="6" t="str"/>
      <x:c r="E92" s="6" t="str">
        <x:v>25 ppm/K or better</x:v>
      </x:c>
      <x:c r="F92" s="6" t="str">
        <x:v>0402</x:v>
      </x:c>
      <x:c r="G92" s="6" t="str">
        <x:v>RT0402BRD073K32L</x:v>
      </x:c>
      <x:c r="H92" s="6" t="str">
        <x:v>C852762</x:v>
      </x:c>
      <x:c r="I92" s="6" t="str">
        <x:v>YAGEO(国巨)</x:v>
      </x:c>
      <x:c r="J92" s="6" t="str">
        <x:v>native/search-passives.json or native/search-final-passives.json</x:v>
      </x:c>
      <x:c r="K92" s="6" t="str">
        <x:v>Sourcing proposal only; no CAD change or stock reservation</x:v>
      </x:c>
    </x:row>
    <x:row r="93" ht="39.599998474121094" hidden="0" customHeight="1">
      <x:c r="A93" s="6" t="str">
        <x:v>R170</x:v>
      </x:c>
      <x:c r="B93" s="6" t="str">
        <x:v>47</x:v>
      </x:c>
      <x:c r="C93" s="6" t="str">
        <x:v>1%</x:v>
      </x:c>
      <x:c r="D93" s="6" t="str"/>
      <x:c r="E93" s="6" t="str"/>
      <x:c r="F93" s="6" t="str">
        <x:v>0402</x:v>
      </x:c>
      <x:c r="G93" s="6" t="str">
        <x:v>0402WGF470JTCE</x:v>
      </x:c>
      <x:c r="H93" s="6" t="str">
        <x:v>C25118</x:v>
      </x:c>
      <x:c r="I93" s="6" t="str">
        <x:v>UNI-ROYAL(厚声)</x:v>
      </x:c>
      <x:c r="J93" s="6" t="str">
        <x:v>native/search-passives.json or native/search-final-passives.json</x:v>
      </x:c>
      <x:c r="K93" s="6" t="str">
        <x:v>Sourcing proposal only; no CAD change or stock reservation</x:v>
      </x:c>
    </x:row>
    <x:row r="94" ht="39.599998474121094" hidden="0" customHeight="1">
      <x:c r="A94" s="6" t="str">
        <x:v>R171</x:v>
      </x:c>
      <x:c r="B94" s="6" t="str">
        <x:v>3.32k</x:v>
      </x:c>
      <x:c r="C94" s="6" t="str">
        <x:v>0.1%</x:v>
      </x:c>
      <x:c r="D94" s="6" t="str"/>
      <x:c r="E94" s="6" t="str">
        <x:v>25 ppm/K or better</x:v>
      </x:c>
      <x:c r="F94" s="6" t="str">
        <x:v>0402</x:v>
      </x:c>
      <x:c r="G94" s="6" t="str">
        <x:v>RT0402BRD073K32L</x:v>
      </x:c>
      <x:c r="H94" s="6" t="str">
        <x:v>C852762</x:v>
      </x:c>
      <x:c r="I94" s="6" t="str">
        <x:v>YAGEO(国巨)</x:v>
      </x:c>
      <x:c r="J94" s="6" t="str">
        <x:v>native/search-passives.json or native/search-final-passives.json</x:v>
      </x:c>
      <x:c r="K94" s="6" t="str">
        <x:v>Sourcing proposal only; no CAD change or stock reservation</x:v>
      </x:c>
    </x:row>
    <x:row r="95" ht="39.599998474121094" hidden="0" customHeight="1">
      <x:c r="A95" s="6" t="str">
        <x:v>R172</x:v>
      </x:c>
      <x:c r="B95" s="6" t="str">
        <x:v>47</x:v>
      </x:c>
      <x:c r="C95" s="6" t="str">
        <x:v>1%</x:v>
      </x:c>
      <x:c r="D95" s="6" t="str"/>
      <x:c r="E95" s="6" t="str"/>
      <x:c r="F95" s="6" t="str">
        <x:v>0402</x:v>
      </x:c>
      <x:c r="G95" s="6" t="str">
        <x:v>0402WGF470JTCE</x:v>
      </x:c>
      <x:c r="H95" s="6" t="str">
        <x:v>C25118</x:v>
      </x:c>
      <x:c r="I95" s="6" t="str">
        <x:v>UNI-ROYAL(厚声)</x:v>
      </x:c>
      <x:c r="J95" s="6" t="str">
        <x:v>native/search-passives.json or native/search-final-passives.json</x:v>
      </x:c>
      <x:c r="K95" s="6" t="str">
        <x:v>Sourcing proposal only; no CAD change or stock reservation</x:v>
      </x:c>
    </x:row>
    <x:row r="96" ht="39.599998474121094" hidden="0" customHeight="1">
      <x:c r="A96" s="6" t="str">
        <x:v>R177</x:v>
      </x:c>
      <x:c r="B96" s="6" t="str">
        <x:v>100k</x:v>
      </x:c>
      <x:c r="C96" s="6" t="str">
        <x:v>0.1%</x:v>
      </x:c>
      <x:c r="D96" s="6" t="str"/>
      <x:c r="E96" s="6" t="str">
        <x:v>25 ppm/K or better</x:v>
      </x:c>
      <x:c r="F96" s="6" t="str">
        <x:v>0402</x:v>
      </x:c>
      <x:c r="G96" s="6" t="str">
        <x:v>RT0402BRD07100KL</x:v>
      </x:c>
      <x:c r="H96" s="6" t="str">
        <x:v>C852472</x:v>
      </x:c>
      <x:c r="I96" s="6" t="str">
        <x:v>YAGEO(国巨)</x:v>
      </x:c>
      <x:c r="J96" s="6" t="str">
        <x:v>native/search-passives.json or native/search-final-passives.json</x:v>
      </x:c>
      <x:c r="K96" s="6" t="str">
        <x:v>Sourcing proposal only; no CAD change or stock reservation</x:v>
      </x:c>
    </x:row>
    <x:row r="97" ht="39.599998474121094" hidden="0" customHeight="1">
      <x:c r="A97" s="6" t="str">
        <x:v>R178</x:v>
      </x:c>
      <x:c r="B97" s="6" t="str">
        <x:v>100k</x:v>
      </x:c>
      <x:c r="C97" s="6" t="str">
        <x:v>0.1%</x:v>
      </x:c>
      <x:c r="D97" s="6" t="str"/>
      <x:c r="E97" s="6" t="str">
        <x:v>25 ppm/K or better</x:v>
      </x:c>
      <x:c r="F97" s="6" t="str">
        <x:v>0402</x:v>
      </x:c>
      <x:c r="G97" s="6" t="str">
        <x:v>RT0402BRD07100KL</x:v>
      </x:c>
      <x:c r="H97" s="6" t="str">
        <x:v>C852472</x:v>
      </x:c>
      <x:c r="I97" s="6" t="str">
        <x:v>YAGEO(国巨)</x:v>
      </x:c>
      <x:c r="J97" s="6" t="str">
        <x:v>native/search-passives.json or native/search-final-passives.json</x:v>
      </x:c>
      <x:c r="K97" s="6" t="str">
        <x:v>Sourcing proposal only; no CAD change or stock reservation</x:v>
      </x:c>
    </x:row>
    <x:row r="98" ht="39.599998474121094" hidden="0" customHeight="1">
      <x:c r="A98" s="6" t="str">
        <x:v>R179</x:v>
      </x:c>
      <x:c r="B98" s="6" t="str">
        <x:v>100k</x:v>
      </x:c>
      <x:c r="C98" s="6" t="str">
        <x:v>0.1%</x:v>
      </x:c>
      <x:c r="D98" s="6" t="str"/>
      <x:c r="E98" s="6" t="str">
        <x:v>25 ppm/K or better</x:v>
      </x:c>
      <x:c r="F98" s="6" t="str">
        <x:v>0402</x:v>
      </x:c>
      <x:c r="G98" s="6" t="str">
        <x:v>RT0402BRD07100KL</x:v>
      </x:c>
      <x:c r="H98" s="6" t="str">
        <x:v>C852472</x:v>
      </x:c>
      <x:c r="I98" s="6" t="str">
        <x:v>YAGEO(国巨)</x:v>
      </x:c>
      <x:c r="J98" s="6" t="str">
        <x:v>native/search-passives.json or native/search-final-passives.json</x:v>
      </x:c>
      <x:c r="K98" s="6" t="str">
        <x:v>Sourcing proposal only; no CAD change or stock reservation</x:v>
      </x:c>
    </x:row>
    <x:row r="99" ht="39.599998474121094" hidden="0" customHeight="1">
      <x:c r="A99" s="6" t="str">
        <x:v>R180</x:v>
      </x:c>
      <x:c r="B99" s="6" t="str">
        <x:v>100k</x:v>
      </x:c>
      <x:c r="C99" s="6" t="str">
        <x:v>0.1%</x:v>
      </x:c>
      <x:c r="D99" s="6" t="str"/>
      <x:c r="E99" s="6" t="str">
        <x:v>25 ppm/K or better</x:v>
      </x:c>
      <x:c r="F99" s="6" t="str">
        <x:v>0402</x:v>
      </x:c>
      <x:c r="G99" s="6" t="str">
        <x:v>RT0402BRD07100KL</x:v>
      </x:c>
      <x:c r="H99" s="6" t="str">
        <x:v>C852472</x:v>
      </x:c>
      <x:c r="I99" s="6" t="str">
        <x:v>YAGEO(国巨)</x:v>
      </x:c>
      <x:c r="J99" s="6" t="str">
        <x:v>native/search-passives.json or native/search-final-passives.json</x:v>
      </x:c>
      <x:c r="K99" s="6" t="str">
        <x:v>Sourcing proposal only; no CAD change or stock reservation</x:v>
      </x:c>
    </x:row>
    <x:row r="100" ht="39.599998474121094" hidden="0" customHeight="1">
      <x:c r="A100" s="6" t="str">
        <x:v>R181</x:v>
      </x:c>
      <x:c r="B100" s="6" t="str">
        <x:v>100k</x:v>
      </x:c>
      <x:c r="C100" s="6" t="str">
        <x:v>0.1%</x:v>
      </x:c>
      <x:c r="D100" s="6" t="str"/>
      <x:c r="E100" s="6" t="str">
        <x:v>25 ppm/K or better</x:v>
      </x:c>
      <x:c r="F100" s="6" t="str">
        <x:v>0402</x:v>
      </x:c>
      <x:c r="G100" s="6" t="str">
        <x:v>RT0402BRD07100KL</x:v>
      </x:c>
      <x:c r="H100" s="6" t="str">
        <x:v>C852472</x:v>
      </x:c>
      <x:c r="I100" s="6" t="str">
        <x:v>YAGEO(国巨)</x:v>
      </x:c>
      <x:c r="J100" s="6" t="str">
        <x:v>native/search-passives.json or native/search-final-passives.json</x:v>
      </x:c>
      <x:c r="K100" s="6" t="str">
        <x:v>Sourcing proposal only; no CAD change or stock reservation</x:v>
      </x:c>
    </x:row>
    <x:row r="101" ht="39.599998474121094" hidden="0" customHeight="1">
      <x:c r="A101" s="6" t="str">
        <x:v>R182</x:v>
      </x:c>
      <x:c r="B101" s="6" t="str">
        <x:v>100k</x:v>
      </x:c>
      <x:c r="C101" s="6" t="str">
        <x:v>0.1%</x:v>
      </x:c>
      <x:c r="D101" s="6" t="str"/>
      <x:c r="E101" s="6" t="str">
        <x:v>25 ppm/K or better</x:v>
      </x:c>
      <x:c r="F101" s="6" t="str">
        <x:v>0402</x:v>
      </x:c>
      <x:c r="G101" s="6" t="str">
        <x:v>RT0402BRD07100KL</x:v>
      </x:c>
      <x:c r="H101" s="6" t="str">
        <x:v>C852472</x:v>
      </x:c>
      <x:c r="I101" s="6" t="str">
        <x:v>YAGEO(国巨)</x:v>
      </x:c>
      <x:c r="J101" s="6" t="str">
        <x:v>native/search-passives.json or native/search-final-passives.json</x:v>
      </x:c>
      <x:c r="K101" s="6" t="str">
        <x:v>Sourcing proposal only; no CAD change or stock reservation</x:v>
      </x:c>
    </x:row>
    <x:row r="102" ht="39.599998474121094" hidden="0" customHeight="1">
      <x:c r="A102" s="6" t="str">
        <x:v>R183</x:v>
      </x:c>
      <x:c r="B102" s="6" t="str">
        <x:v>100k</x:v>
      </x:c>
      <x:c r="C102" s="6" t="str">
        <x:v>0.1%</x:v>
      </x:c>
      <x:c r="D102" s="6" t="str"/>
      <x:c r="E102" s="6" t="str">
        <x:v>25 ppm/K or better</x:v>
      </x:c>
      <x:c r="F102" s="6" t="str">
        <x:v>0402</x:v>
      </x:c>
      <x:c r="G102" s="6" t="str">
        <x:v>RT0402BRD07100KL</x:v>
      </x:c>
      <x:c r="H102" s="6" t="str">
        <x:v>C852472</x:v>
      </x:c>
      <x:c r="I102" s="6" t="str">
        <x:v>YAGEO(国巨)</x:v>
      </x:c>
      <x:c r="J102" s="6" t="str">
        <x:v>native/search-passives.json or native/search-final-passives.json</x:v>
      </x:c>
      <x:c r="K102" s="6" t="str">
        <x:v>Sourcing proposal only; no CAD change or stock reservation</x:v>
      </x:c>
    </x:row>
    <x:row r="103" ht="39.599998474121094" hidden="0" customHeight="1">
      <x:c r="A103" s="6" t="str">
        <x:v>R184</x:v>
      </x:c>
      <x:c r="B103" s="6" t="str">
        <x:v>100k</x:v>
      </x:c>
      <x:c r="C103" s="6" t="str">
        <x:v>0.1%</x:v>
      </x:c>
      <x:c r="D103" s="6" t="str"/>
      <x:c r="E103" s="6" t="str">
        <x:v>25 ppm/K or better</x:v>
      </x:c>
      <x:c r="F103" s="6" t="str">
        <x:v>0402</x:v>
      </x:c>
      <x:c r="G103" s="6" t="str">
        <x:v>RT0402BRD07100KL</x:v>
      </x:c>
      <x:c r="H103" s="6" t="str">
        <x:v>C852472</x:v>
      </x:c>
      <x:c r="I103" s="6" t="str">
        <x:v>YAGEO(国巨)</x:v>
      </x:c>
      <x:c r="J103" s="6" t="str">
        <x:v>native/search-passives.json or native/search-final-passives.json</x:v>
      </x:c>
      <x:c r="K103" s="6" t="str">
        <x:v>Sourcing proposal only; no CAD change or stock reservation</x:v>
      </x:c>
    </x:row>
    <x:row r="104" ht="39.599998474121094" hidden="0" customHeight="1">
      <x:c r="A104" s="6" t="str">
        <x:v>R185</x:v>
      </x:c>
      <x:c r="B104" s="6" t="str">
        <x:v>100k</x:v>
      </x:c>
      <x:c r="C104" s="6" t="str">
        <x:v>0.1%</x:v>
      </x:c>
      <x:c r="D104" s="6" t="str"/>
      <x:c r="E104" s="6" t="str">
        <x:v>25 ppm/K or better</x:v>
      </x:c>
      <x:c r="F104" s="6" t="str">
        <x:v>0402</x:v>
      </x:c>
      <x:c r="G104" s="6" t="str">
        <x:v>RT0402BRD07100KL</x:v>
      </x:c>
      <x:c r="H104" s="6" t="str">
        <x:v>C852472</x:v>
      </x:c>
      <x:c r="I104" s="6" t="str">
        <x:v>YAGEO(国巨)</x:v>
      </x:c>
      <x:c r="J104" s="6" t="str">
        <x:v>native/search-passives.json or native/search-final-passives.json</x:v>
      </x:c>
      <x:c r="K104" s="6" t="str">
        <x:v>Sourcing proposal only; no CAD change or stock reservation</x:v>
      </x:c>
    </x:row>
    <x:row r="105" ht="39.599998474121094" hidden="0" customHeight="1">
      <x:c r="A105" s="6" t="str">
        <x:v>R186</x:v>
      </x:c>
      <x:c r="B105" s="6" t="str">
        <x:v>100k</x:v>
      </x:c>
      <x:c r="C105" s="6" t="str">
        <x:v>0.1%</x:v>
      </x:c>
      <x:c r="D105" s="6" t="str"/>
      <x:c r="E105" s="6" t="str">
        <x:v>25 ppm/K or better</x:v>
      </x:c>
      <x:c r="F105" s="6" t="str">
        <x:v>0402</x:v>
      </x:c>
      <x:c r="G105" s="6" t="str">
        <x:v>RT0402BRD07100KL</x:v>
      </x:c>
      <x:c r="H105" s="6" t="str">
        <x:v>C852472</x:v>
      </x:c>
      <x:c r="I105" s="6" t="str">
        <x:v>YAGEO(国巨)</x:v>
      </x:c>
      <x:c r="J105" s="6" t="str">
        <x:v>native/search-passives.json or native/search-final-passives.json</x:v>
      </x:c>
      <x:c r="K105" s="6" t="str">
        <x:v>Sourcing proposal only; no CAD change or stock reservation</x:v>
      </x:c>
    </x:row>
    <x:row r="106" ht="39.599998474121094" hidden="0" customHeight="1">
      <x:c r="A106" s="6" t="str">
        <x:v>R198</x:v>
      </x:c>
      <x:c r="B106" s="6" t="str">
        <x:v>15.4k</x:v>
      </x:c>
      <x:c r="C106" s="6" t="str">
        <x:v>0.1%</x:v>
      </x:c>
      <x:c r="D106" s="6" t="str"/>
      <x:c r="E106" s="6" t="str">
        <x:v>25 ppm/K or better</x:v>
      </x:c>
      <x:c r="F106" s="6" t="str">
        <x:v>0402</x:v>
      </x:c>
      <x:c r="G106" s="6" t="str">
        <x:v>RT0402BRD0715K4L</x:v>
      </x:c>
      <x:c r="H106" s="6" t="str">
        <x:v>C852543</x:v>
      </x:c>
      <x:c r="I106" s="6" t="str">
        <x:v>YAGEO(国巨)</x:v>
      </x:c>
      <x:c r="J106" s="6" t="str">
        <x:v>native/search-passives.json or native/search-final-passives.json</x:v>
      </x:c>
      <x:c r="K106" s="6" t="str">
        <x:v>Sourcing proposal only; no CAD change or stock reservation</x:v>
      </x:c>
    </x:row>
    <x:row r="107" ht="39.599998474121094" hidden="0" customHeight="1">
      <x:c r="A107" s="6" t="str">
        <x:v>R199</x:v>
      </x:c>
      <x:c r="B107" s="6" t="str">
        <x:v>10.0k</x:v>
      </x:c>
      <x:c r="C107" s="6" t="str">
        <x:v>0.1%</x:v>
      </x:c>
      <x:c r="D107" s="6" t="str"/>
      <x:c r="E107" s="6" t="str">
        <x:v>25 ppm/K or better</x:v>
      </x:c>
      <x:c r="F107" s="6" t="str">
        <x:v>0402</x:v>
      </x:c>
      <x:c r="G107" s="6" t="str">
        <x:v>RT0402BRD0710KL</x:v>
      </x:c>
      <x:c r="H107" s="6" t="str">
        <x:v>C190095</x:v>
      </x:c>
      <x:c r="I107" s="6" t="str">
        <x:v>YAGEO(国巨)</x:v>
      </x:c>
      <x:c r="J107" s="6" t="str">
        <x:v>native/search-passives.json or native/search-final-passives.json</x:v>
      </x:c>
      <x:c r="K107" s="6" t="str">
        <x:v>Sourcing proposal only; no CAD change or stock reservation</x:v>
      </x:c>
    </x:row>
    <x:row r="108" ht="39.599998474121094" hidden="0" customHeight="1">
      <x:c r="A108" s="6" t="str">
        <x:v>R204</x:v>
      </x:c>
      <x:c r="B108" s="6" t="str">
        <x:v>1.00k</x:v>
      </x:c>
      <x:c r="C108" s="6" t="str">
        <x:v>1%</x:v>
      </x:c>
      <x:c r="D108" s="6" t="str"/>
      <x:c r="E108" s="6" t="str">
        <x:v>25 ppm/K or better</x:v>
      </x:c>
      <x:c r="F108" s="6" t="str">
        <x:v>0402</x:v>
      </x:c>
      <x:c r="G108" s="6" t="str">
        <x:v>RT0402FRD071KL</x:v>
      </x:c>
      <x:c r="H108" s="6" t="str">
        <x:v>C4137342</x:v>
      </x:c>
      <x:c r="I108" s="6" t="str">
        <x:v>YAGEO(国巨)</x:v>
      </x:c>
      <x:c r="J108" s="6" t="str">
        <x:v>native/search-passives.json or native/search-final-passives.json</x:v>
      </x:c>
      <x:c r="K108" s="6" t="str">
        <x:v>Sourcing proposal only; no CAD change or stock reservation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24" hidden="0" customWidth="1"/>
    <x:col min="3" max="3" width="24" hidden="0" customWidth="1"/>
    <x:col min="4" max="4" width="25" hidden="0" customWidth="1"/>
  </x:cols>
  <x:sheetData>
    <x:row r="1" ht="15" hidden="0" customHeight="1">
      <x:c r="A1" s="5" t="str">
        <x:v>명목 비교</x:v>
      </x:c>
      <x:c r="B1" s="5" t="str">
        <x:v>기존</x:v>
      </x:c>
      <x:c r="C1" s="5" t="str">
        <x:v>선정값</x:v>
      </x:c>
      <x:c r="D1" s="5" t="str">
        <x:v>단위</x:v>
      </x:c>
    </x:row>
    <x:row r="2" ht="15" hidden="0" customHeight="1">
      <x:c r="A2" s="6" t="str">
        <x:v>입력 저항</x:v>
      </x:c>
      <x:c r="B2" s="6" t="n">
        <x:v>4000</x:v>
      </x:c>
      <x:c r="C2" s="6" t="n">
        <x:v>4020</x:v>
      </x:c>
      <x:c r="D2" s="6" t="str">
        <x:v>Ω</x:v>
      </x:c>
    </x:row>
    <x:row r="3" ht="15" hidden="0" customHeight="1">
      <x:c r="A3" s="6" t="str">
        <x:v>피드백 저항</x:v>
      </x:c>
      <x:c r="B3" s="6" t="n">
        <x:v>2800</x:v>
      </x:c>
      <x:c r="C3" s="6" t="n">
        <x:v>2800</x:v>
      </x:c>
      <x:c r="D3" s="6" t="str">
        <x:v>Ω</x:v>
      </x:c>
    </x:row>
    <x:row r="4" ht="15" hidden="0" customHeight="1">
      <x:c r="A4" s="6" t="str">
        <x:v>분압 상단</x:v>
      </x:c>
      <x:c r="B4" s="6" t="n">
        <x:v>15800</x:v>
      </x:c>
      <x:c r="C4" s="6" t="n">
        <x:v>14700</x:v>
      </x:c>
      <x:c r="D4" s="6" t="str">
        <x:v>Ω</x:v>
      </x:c>
    </x:row>
    <x:row r="5" ht="15" hidden="0" customHeight="1">
      <x:c r="A5" s="6" t="str">
        <x:v>분압 하단</x:v>
      </x:c>
      <x:c r="B5" s="6" t="n">
        <x:v>10000</x:v>
      </x:c>
      <x:c r="C5" s="6" t="n">
        <x:v>9310</x:v>
      </x:c>
      <x:c r="D5" s="6" t="str">
        <x:v>Ω</x:v>
      </x:c>
    </x:row>
    <x:row r="6" ht="15" hidden="0" customHeight="1">
      <x:c r="A6" s="6" t="str">
        <x:v>REF5025</x:v>
      </x:c>
      <x:c r="B6" s="6" t="n">
        <x:v>2.5</x:v>
      </x:c>
      <x:c r="C6" s="6" t="n">
        <x:v>2.5</x:v>
      </x:c>
      <x:c r="D6" s="6" t="str">
        <x:v>V</x:v>
      </x:c>
    </x:row>
    <x:row r="7" ht="15" hidden="0" customHeight="1">
      <x:c r="A7" s="6" t="str">
        <x:v>이득 크기</x:v>
      </x:c>
      <x:c r="B7" s="9" t="n">
        <x:f>B3/B2</x:f>
        <x:v>0.7</x:v>
      </x:c>
      <x:c r="C7" s="9" t="n">
        <x:f>C3/C2</x:f>
        <x:v>0.6965174129353234</x:v>
      </x:c>
      <x:c r="D7" s="6" t="str">
        <x:v>V/V</x:v>
      </x:c>
    </x:row>
    <x:row r="8" ht="15" hidden="0" customHeight="1">
      <x:c r="A8" s="6" t="str">
        <x:v>0 V 입력 출력</x:v>
      </x:c>
      <x:c r="B8" s="9" t="n">
        <x:f>B6*B5/(B4+B5)*(1+B7)</x:f>
        <x:v>1.6472868217054262</x:v>
      </x:c>
      <x:c r="C8" s="9" t="n">
        <x:f>C6*C5/(C4+C5)*(1+C7)</x:f>
        <x:v>1.644583206416895</x:v>
      </x:c>
      <x:c r="D8" s="6" t="str">
        <x:v>V</x:v>
      </x:c>
    </x:row>
    <x:row r="9" ht="15" hidden="0" customHeight="1">
      <x:c r="A9" s="6" t="str">
        <x:v>−2 V 입력 출력</x:v>
      </x:c>
      <x:c r="B9" s="9" t="n">
        <x:f>B8+2*B7</x:f>
        <x:v>3.047286821705426</x:v>
      </x:c>
      <x:c r="C9" s="9" t="n">
        <x:f>C8+2*C7</x:f>
        <x:v>3.0376180322875417</x:v>
      </x:c>
      <x:c r="D9" s="6" t="str">
        <x:v>V</x:v>
      </x:c>
    </x:row>
    <x:row r="10" ht="15" hidden="0" customHeight="1">
      <x:c r="A10" s="6" t="str">
        <x:v>0 V 입력 출력</x:v>
      </x:c>
      <x:c r="B10" s="9" t="n">
        <x:f>B8</x:f>
        <x:v>1.6472868217054262</x:v>
      </x:c>
      <x:c r="C10" s="9" t="n">
        <x:f>C8</x:f>
        <x:v>1.644583206416895</x:v>
      </x:c>
      <x:c r="D10" s="6" t="str">
        <x:v>V</x:v>
      </x:c>
    </x:row>
    <x:row r="11" ht="15" hidden="0" customHeight="1">
      <x:c r="A11" s="6" t="str">
        <x:v>+2 V 입력 출력</x:v>
      </x:c>
      <x:c r="B11" s="9" t="n">
        <x:f>B8-2*B7</x:f>
        <x:v>0.24728682170542626</x:v>
      </x:c>
      <x:c r="C11" s="9" t="n">
        <x:f>C8-2*C7</x:f>
        <x:v>0.2515483805462482</x:v>
      </x:c>
      <x:c r="D11" s="6" t="str">
        <x:v>V</x:v>
      </x:c>
    </x:row>
    <x:row r="12" ht="15" hidden="0" customHeight="1">
      <x:c r="A12" s="6" t="str">
        <x:v>합성 −3 dB 대역</x:v>
      </x:c>
      <x:c r="B12" s="9" t="n">
        <x:v>3314.1518658512987</x:v>
      </x:c>
      <x:c r="C12" s="9" t="n">
        <x:v>3314.1518658512987</x:v>
      </x:c>
      <x:c r="D12" s="6" t="str">
        <x:v>Hz (외부 해석)</x:v>
      </x:c>
    </x:row>
    <x:row r="13" ht="15" hidden="0" customHeight="1">
      <x:c r="A13" s="6"/>
      <x:c r="B13" s="9"/>
      <x:c r="C13" s="9"/>
      <x:c r="D13" s="6"/>
    </x:row>
    <x:row r="14" ht="15" hidden="0" customHeight="1">
      <x:c r="A14" s="6"/>
      <x:c r="B14" s="9"/>
      <x:c r="C14" s="9"/>
      <x:c r="D14" s="6"/>
    </x:row>
    <x:row r="15" ht="15" hidden="0" customHeight="1">
      <x:c r="A15" s="6" t="str">
        <x:v>이득 크기 변화</x:v>
      </x:c>
      <x:c r="B15" s="9" t="str"/>
      <x:c r="C15" s="9" t="n">
        <x:f>(C7/B7-1)*100</x:f>
        <x:v>-0.4975124378109319</x:v>
      </x:c>
      <x:c r="D15" s="6" t="str">
        <x:v>%</x:v>
      </x:c>
    </x:row>
    <x:row r="16" ht="15" hidden="0" customHeight="1">
      <x:c r="A16" s="6" t="str">
        <x:v>영점 출력 변화</x:v>
      </x:c>
      <x:c r="B16" s="9" t="str"/>
      <x:c r="C16" s="9" t="n">
        <x:f>(C8-B8)*1000</x:f>
        <x:v>-2.703615288531136</x:v>
      </x:c>
      <x:c r="D16" s="6" t="str">
        <x:v>mV</x:v>
      </x:c>
    </x:row>
    <x:row r="17" ht="15" hidden="0" customHeight="1">
      <x:c r="A17" s="6"/>
      <x:c r="B17" s="6"/>
      <x:c r="C17" s="6"/>
      <x:c r="D17" s="6"/>
    </x:row>
    <x:row r="18" ht="15" hidden="0" customHeight="1">
      <x:c r="A18" s="6"/>
      <x:c r="B18" s="6"/>
      <x:c r="C18" s="6"/>
      <x:c r="D18" s="6"/>
    </x:row>
    <x:row r="19" ht="26.399999618530273" hidden="0" customHeight="1">
      <x:c r="A19" s="6" t="str">
        <x:v>이상적인 증폭기·명목 커패시터의 저항 비교입니다. 실측 잡음·기동·전체 ADC 오차 또는 제조 승인이 아닙니다. VIN은 실제 SMA 전압입니다.</x:v>
      </x:c>
      <x:c r="B19" s="6"/>
      <x:c r="C19" s="6"/>
      <x:c r="D19" s="6"/>
    </x:row>
  </x:sheetData>
  <x:mergeCells>
    <x:mergeCell ref="A19:D19"/>
  </x:mergeCells>
  <x:pageMargins left="0.7" right="0.7" top="0.75" bottom="0.75" header="0.3" footer="0.3"/>
</x:worksheet>
</file>